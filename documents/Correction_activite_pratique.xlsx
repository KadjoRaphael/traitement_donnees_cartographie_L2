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24226"/>
  <mc:AlternateContent xmlns:mc="http://schemas.openxmlformats.org/markup-compatibility/2006">
    <mc:Choice Requires="x15">
      <x15ac:absPath xmlns:x15ac="http://schemas.microsoft.com/office/spreadsheetml/2010/11/ac" url="C:\Users\rapha\Downloads\Cours a preparer\L2_traitement_donnees_carto\"/>
    </mc:Choice>
  </mc:AlternateContent>
  <xr:revisionPtr revIDLastSave="0" documentId="13_ncr:1_{8EE98186-6B48-49DF-A2BC-4ED5DE840B54}" xr6:coauthVersionLast="47" xr6:coauthVersionMax="47" xr10:uidLastSave="{00000000-0000-0000-0000-000000000000}"/>
  <bookViews>
    <workbookView xWindow="53445" yWindow="-3120" windowWidth="26775" windowHeight="20250" xr2:uid="{00000000-000D-0000-FFFF-FFFF00000000}"/>
  </bookViews>
  <sheets>
    <sheet name="Instructions" sheetId="3" r:id="rId1"/>
    <sheet name="CSP" sheetId="2" r:id="rId2"/>
    <sheet name="Métadonnées" sheetId="4" r:id="rId3"/>
    <sheet name="Correction" sheetId="5" r:id="rId4"/>
  </sheets>
  <definedNames>
    <definedName name="_xlchart.v1.0" hidden="1">Correction!$B$2:$B$97</definedName>
    <definedName name="_xlchart.v1.1" hidden="1">Correction!$N$1</definedName>
    <definedName name="_xlchart.v1.2" hidden="1">Correction!$N$2:$N$97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06" i="5" l="1"/>
  <c r="D107" i="5" s="1"/>
  <c r="E106" i="5"/>
  <c r="F106" i="5"/>
  <c r="F107" i="5" s="1"/>
  <c r="G106" i="5"/>
  <c r="G107" i="5" s="1"/>
  <c r="H106" i="5"/>
  <c r="H107" i="5" s="1"/>
  <c r="I106" i="5"/>
  <c r="I107" i="5" s="1"/>
  <c r="J106" i="5"/>
  <c r="J107" i="5" s="1"/>
  <c r="D105" i="5"/>
  <c r="D104" i="5"/>
  <c r="H103" i="5"/>
  <c r="H104" i="5" s="1"/>
  <c r="I103" i="5"/>
  <c r="I104" i="5" s="1"/>
  <c r="J103" i="5"/>
  <c r="J104" i="5" s="1"/>
  <c r="D102" i="5"/>
  <c r="D103" i="5" s="1"/>
  <c r="E102" i="5"/>
  <c r="E105" i="5" s="1"/>
  <c r="F102" i="5"/>
  <c r="F105" i="5" s="1"/>
  <c r="G102" i="5"/>
  <c r="G105" i="5" s="1"/>
  <c r="H102" i="5"/>
  <c r="H105" i="5" s="1"/>
  <c r="I102" i="5"/>
  <c r="I105" i="5" s="1"/>
  <c r="J102" i="5"/>
  <c r="J105" i="5" s="1"/>
  <c r="C102" i="5"/>
  <c r="C101" i="5"/>
  <c r="C98" i="5" s="1"/>
  <c r="D101" i="5"/>
  <c r="D98" i="5" s="1"/>
  <c r="E101" i="5"/>
  <c r="F101" i="5"/>
  <c r="F98" i="5" s="1"/>
  <c r="G101" i="5"/>
  <c r="H101" i="5"/>
  <c r="I101" i="5"/>
  <c r="I98" i="5" s="1"/>
  <c r="J101" i="5"/>
  <c r="J98" i="5" s="1"/>
  <c r="D100" i="5"/>
  <c r="E100" i="5"/>
  <c r="F100" i="5"/>
  <c r="G100" i="5"/>
  <c r="H100" i="5"/>
  <c r="I100" i="5"/>
  <c r="J100" i="5"/>
  <c r="C100" i="5"/>
  <c r="E98" i="5"/>
  <c r="G98" i="5"/>
  <c r="H98" i="5"/>
  <c r="O51" i="5"/>
  <c r="M97" i="5"/>
  <c r="K3" i="5"/>
  <c r="Q3" i="5" s="1"/>
  <c r="K4" i="5"/>
  <c r="O4" i="5" s="1"/>
  <c r="K5" i="5"/>
  <c r="O5" i="5" s="1"/>
  <c r="K6" i="5"/>
  <c r="K7" i="5"/>
  <c r="O7" i="5" s="1"/>
  <c r="K8" i="5"/>
  <c r="P8" i="5" s="1"/>
  <c r="K9" i="5"/>
  <c r="R9" i="5" s="1"/>
  <c r="K10" i="5"/>
  <c r="P10" i="5" s="1"/>
  <c r="K11" i="5"/>
  <c r="O11" i="5" s="1"/>
  <c r="K12" i="5"/>
  <c r="O12" i="5" s="1"/>
  <c r="K13" i="5"/>
  <c r="R13" i="5" s="1"/>
  <c r="K14" i="5"/>
  <c r="K15" i="5"/>
  <c r="K16" i="5"/>
  <c r="P16" i="5" s="1"/>
  <c r="K17" i="5"/>
  <c r="R17" i="5" s="1"/>
  <c r="K18" i="5"/>
  <c r="P18" i="5" s="1"/>
  <c r="K19" i="5"/>
  <c r="R19" i="5" s="1"/>
  <c r="K20" i="5"/>
  <c r="R20" i="5" s="1"/>
  <c r="K21" i="5"/>
  <c r="O21" i="5" s="1"/>
  <c r="K22" i="5"/>
  <c r="K23" i="5"/>
  <c r="O23" i="5" s="1"/>
  <c r="K24" i="5"/>
  <c r="P24" i="5" s="1"/>
  <c r="K25" i="5"/>
  <c r="R25" i="5" s="1"/>
  <c r="K26" i="5"/>
  <c r="P26" i="5" s="1"/>
  <c r="K27" i="5"/>
  <c r="Q27" i="5" s="1"/>
  <c r="K28" i="5"/>
  <c r="O28" i="5" s="1"/>
  <c r="K29" i="5"/>
  <c r="O29" i="5" s="1"/>
  <c r="K30" i="5"/>
  <c r="K31" i="5"/>
  <c r="O31" i="5" s="1"/>
  <c r="K32" i="5"/>
  <c r="P32" i="5" s="1"/>
  <c r="K33" i="5"/>
  <c r="R33" i="5" s="1"/>
  <c r="K34" i="5"/>
  <c r="P34" i="5" s="1"/>
  <c r="K35" i="5"/>
  <c r="O35" i="5" s="1"/>
  <c r="K36" i="5"/>
  <c r="R36" i="5" s="1"/>
  <c r="K37" i="5"/>
  <c r="R37" i="5" s="1"/>
  <c r="K38" i="5"/>
  <c r="K39" i="5"/>
  <c r="K40" i="5"/>
  <c r="P40" i="5" s="1"/>
  <c r="K41" i="5"/>
  <c r="R41" i="5" s="1"/>
  <c r="K42" i="5"/>
  <c r="P42" i="5" s="1"/>
  <c r="K43" i="5"/>
  <c r="R43" i="5" s="1"/>
  <c r="K44" i="5"/>
  <c r="O44" i="5" s="1"/>
  <c r="K45" i="5"/>
  <c r="Q45" i="5" s="1"/>
  <c r="K46" i="5"/>
  <c r="R46" i="5" s="1"/>
  <c r="K47" i="5"/>
  <c r="O47" i="5" s="1"/>
  <c r="K48" i="5"/>
  <c r="P48" i="5" s="1"/>
  <c r="K49" i="5"/>
  <c r="R49" i="5" s="1"/>
  <c r="K50" i="5"/>
  <c r="R50" i="5" s="1"/>
  <c r="K51" i="5"/>
  <c r="Q51" i="5" s="1"/>
  <c r="K52" i="5"/>
  <c r="O52" i="5" s="1"/>
  <c r="K53" i="5"/>
  <c r="O53" i="5" s="1"/>
  <c r="K54" i="5"/>
  <c r="R54" i="5" s="1"/>
  <c r="K55" i="5"/>
  <c r="O55" i="5" s="1"/>
  <c r="K56" i="5"/>
  <c r="P56" i="5" s="1"/>
  <c r="K57" i="5"/>
  <c r="R57" i="5" s="1"/>
  <c r="K58" i="5"/>
  <c r="P58" i="5" s="1"/>
  <c r="K59" i="5"/>
  <c r="O59" i="5" s="1"/>
  <c r="K60" i="5"/>
  <c r="R60" i="5" s="1"/>
  <c r="K61" i="5"/>
  <c r="R61" i="5" s="1"/>
  <c r="K62" i="5"/>
  <c r="R62" i="5" s="1"/>
  <c r="K63" i="5"/>
  <c r="O63" i="5" s="1"/>
  <c r="K64" i="5"/>
  <c r="P64" i="5" s="1"/>
  <c r="K65" i="5"/>
  <c r="R65" i="5" s="1"/>
  <c r="K66" i="5"/>
  <c r="P66" i="5" s="1"/>
  <c r="K67" i="5"/>
  <c r="R67" i="5" s="1"/>
  <c r="K68" i="5"/>
  <c r="R68" i="5" s="1"/>
  <c r="K69" i="5"/>
  <c r="O69" i="5" s="1"/>
  <c r="K70" i="5"/>
  <c r="K71" i="5"/>
  <c r="K72" i="5"/>
  <c r="P72" i="5" s="1"/>
  <c r="K73" i="5"/>
  <c r="R73" i="5" s="1"/>
  <c r="K74" i="5"/>
  <c r="P74" i="5" s="1"/>
  <c r="K75" i="5"/>
  <c r="O75" i="5" s="1"/>
  <c r="K76" i="5"/>
  <c r="L76" i="5" s="1"/>
  <c r="K77" i="5"/>
  <c r="L77" i="5" s="1"/>
  <c r="K78" i="5"/>
  <c r="R78" i="5" s="1"/>
  <c r="K79" i="5"/>
  <c r="K80" i="5"/>
  <c r="N80" i="5" s="1"/>
  <c r="K81" i="5"/>
  <c r="P81" i="5" s="1"/>
  <c r="K82" i="5"/>
  <c r="P82" i="5" s="1"/>
  <c r="K83" i="5"/>
  <c r="P83" i="5" s="1"/>
  <c r="K84" i="5"/>
  <c r="P84" i="5" s="1"/>
  <c r="K85" i="5"/>
  <c r="P85" i="5" s="1"/>
  <c r="K86" i="5"/>
  <c r="N86" i="5" s="1"/>
  <c r="K87" i="5"/>
  <c r="O87" i="5" s="1"/>
  <c r="K88" i="5"/>
  <c r="P88" i="5" s="1"/>
  <c r="K89" i="5"/>
  <c r="P89" i="5" s="1"/>
  <c r="K90" i="5"/>
  <c r="P90" i="5" s="1"/>
  <c r="K91" i="5"/>
  <c r="P91" i="5" s="1"/>
  <c r="K92" i="5"/>
  <c r="P92" i="5" s="1"/>
  <c r="K93" i="5"/>
  <c r="P93" i="5" s="1"/>
  <c r="K94" i="5"/>
  <c r="N94" i="5" s="1"/>
  <c r="K95" i="5"/>
  <c r="N95" i="5" s="1"/>
  <c r="K96" i="5"/>
  <c r="P96" i="5" s="1"/>
  <c r="K97" i="5"/>
  <c r="N97" i="5" s="1"/>
  <c r="K2" i="5"/>
  <c r="R2" i="5" s="1"/>
  <c r="S96" i="5" l="1"/>
  <c r="L75" i="5"/>
  <c r="L80" i="5"/>
  <c r="O56" i="5"/>
  <c r="M80" i="5"/>
  <c r="O32" i="5"/>
  <c r="R26" i="5"/>
  <c r="Q26" i="5"/>
  <c r="N90" i="5"/>
  <c r="R74" i="5"/>
  <c r="O88" i="5"/>
  <c r="O17" i="5"/>
  <c r="N88" i="5"/>
  <c r="O65" i="5"/>
  <c r="Q42" i="5"/>
  <c r="R16" i="5"/>
  <c r="N82" i="5"/>
  <c r="R64" i="5"/>
  <c r="O42" i="5"/>
  <c r="E107" i="5"/>
  <c r="O90" i="5"/>
  <c r="M82" i="5"/>
  <c r="Q56" i="5"/>
  <c r="Q32" i="5"/>
  <c r="R10" i="5"/>
  <c r="S92" i="5"/>
  <c r="K105" i="5"/>
  <c r="Q2" i="5"/>
  <c r="O96" i="5"/>
  <c r="N92" i="5"/>
  <c r="M90" i="5"/>
  <c r="M88" i="5"/>
  <c r="M84" i="5"/>
  <c r="S81" i="5"/>
  <c r="Q74" i="5"/>
  <c r="Q68" i="5"/>
  <c r="Q64" i="5"/>
  <c r="Q50" i="5"/>
  <c r="O45" i="5"/>
  <c r="O41" i="5"/>
  <c r="O26" i="5"/>
  <c r="Q20" i="5"/>
  <c r="Q16" i="5"/>
  <c r="Q10" i="5"/>
  <c r="Q4" i="5"/>
  <c r="O84" i="5"/>
  <c r="Q36" i="5"/>
  <c r="O92" i="5"/>
  <c r="O36" i="5"/>
  <c r="R4" i="5"/>
  <c r="P2" i="5"/>
  <c r="N96" i="5"/>
  <c r="M92" i="5"/>
  <c r="S89" i="5"/>
  <c r="O86" i="5"/>
  <c r="O83" i="5"/>
  <c r="O81" i="5"/>
  <c r="Q77" i="5"/>
  <c r="O74" i="5"/>
  <c r="O68" i="5"/>
  <c r="O64" i="5"/>
  <c r="R58" i="5"/>
  <c r="O50" i="5"/>
  <c r="R44" i="5"/>
  <c r="R40" i="5"/>
  <c r="R34" i="5"/>
  <c r="O25" i="5"/>
  <c r="O20" i="5"/>
  <c r="O16" i="5"/>
  <c r="O10" i="5"/>
  <c r="N84" i="5"/>
  <c r="O60" i="5"/>
  <c r="O2" i="5"/>
  <c r="M96" i="5"/>
  <c r="O91" i="5"/>
  <c r="O89" i="5"/>
  <c r="N83" i="5"/>
  <c r="N81" i="5"/>
  <c r="P77" i="5"/>
  <c r="O73" i="5"/>
  <c r="O67" i="5"/>
  <c r="Q58" i="5"/>
  <c r="O49" i="5"/>
  <c r="Q44" i="5"/>
  <c r="Q40" i="5"/>
  <c r="Q34" i="5"/>
  <c r="R28" i="5"/>
  <c r="R24" i="5"/>
  <c r="O19" i="5"/>
  <c r="O13" i="5"/>
  <c r="O9" i="5"/>
  <c r="O3" i="5"/>
  <c r="M2" i="5"/>
  <c r="N91" i="5"/>
  <c r="N89" i="5"/>
  <c r="O85" i="5"/>
  <c r="M83" i="5"/>
  <c r="M81" i="5"/>
  <c r="O76" i="5"/>
  <c r="R72" i="5"/>
  <c r="R66" i="5"/>
  <c r="O58" i="5"/>
  <c r="R52" i="5"/>
  <c r="R48" i="5"/>
  <c r="O40" i="5"/>
  <c r="O34" i="5"/>
  <c r="Q28" i="5"/>
  <c r="Q24" i="5"/>
  <c r="R18" i="5"/>
  <c r="R12" i="5"/>
  <c r="R8" i="5"/>
  <c r="P97" i="5"/>
  <c r="O93" i="5"/>
  <c r="M91" i="5"/>
  <c r="M89" i="5"/>
  <c r="N85" i="5"/>
  <c r="S82" i="5"/>
  <c r="S80" i="5"/>
  <c r="M76" i="5"/>
  <c r="Q72" i="5"/>
  <c r="Q66" i="5"/>
  <c r="O61" i="5"/>
  <c r="O57" i="5"/>
  <c r="Q52" i="5"/>
  <c r="Q48" i="5"/>
  <c r="O43" i="5"/>
  <c r="O37" i="5"/>
  <c r="O33" i="5"/>
  <c r="O24" i="5"/>
  <c r="Q18" i="5"/>
  <c r="Q12" i="5"/>
  <c r="Q8" i="5"/>
  <c r="Q60" i="5"/>
  <c r="O97" i="5"/>
  <c r="N93" i="5"/>
  <c r="S90" i="5"/>
  <c r="S88" i="5"/>
  <c r="S84" i="5"/>
  <c r="O82" i="5"/>
  <c r="O80" i="5"/>
  <c r="O72" i="5"/>
  <c r="O66" i="5"/>
  <c r="R56" i="5"/>
  <c r="O48" i="5"/>
  <c r="R42" i="5"/>
  <c r="R32" i="5"/>
  <c r="O27" i="5"/>
  <c r="O18" i="5"/>
  <c r="O8" i="5"/>
  <c r="K102" i="5"/>
  <c r="K101" i="5"/>
  <c r="K100" i="5"/>
  <c r="S79" i="5"/>
  <c r="N79" i="5"/>
  <c r="M79" i="5"/>
  <c r="O79" i="5"/>
  <c r="P79" i="5"/>
  <c r="Q79" i="5"/>
  <c r="R79" i="5"/>
  <c r="S71" i="5"/>
  <c r="L71" i="5"/>
  <c r="M71" i="5"/>
  <c r="N71" i="5"/>
  <c r="P71" i="5"/>
  <c r="Q71" i="5"/>
  <c r="R71" i="5"/>
  <c r="S39" i="5"/>
  <c r="L39" i="5"/>
  <c r="M39" i="5"/>
  <c r="N39" i="5"/>
  <c r="P39" i="5"/>
  <c r="Q39" i="5"/>
  <c r="R39" i="5"/>
  <c r="S31" i="5"/>
  <c r="L31" i="5"/>
  <c r="M31" i="5"/>
  <c r="N31" i="5"/>
  <c r="P31" i="5"/>
  <c r="Q31" i="5"/>
  <c r="R31" i="5"/>
  <c r="S15" i="5"/>
  <c r="L15" i="5"/>
  <c r="M15" i="5"/>
  <c r="N15" i="5"/>
  <c r="P15" i="5"/>
  <c r="Q15" i="5"/>
  <c r="R15" i="5"/>
  <c r="O95" i="5"/>
  <c r="P94" i="5"/>
  <c r="Q94" i="5"/>
  <c r="R94" i="5"/>
  <c r="S94" i="5"/>
  <c r="L94" i="5"/>
  <c r="M94" i="5"/>
  <c r="P86" i="5"/>
  <c r="S86" i="5"/>
  <c r="Q86" i="5"/>
  <c r="R86" i="5"/>
  <c r="L86" i="5"/>
  <c r="M86" i="5"/>
  <c r="S70" i="5"/>
  <c r="L70" i="5"/>
  <c r="M70" i="5"/>
  <c r="N70" i="5"/>
  <c r="O70" i="5"/>
  <c r="P70" i="5"/>
  <c r="Q70" i="5"/>
  <c r="S54" i="5"/>
  <c r="L54" i="5"/>
  <c r="M54" i="5"/>
  <c r="N54" i="5"/>
  <c r="Q54" i="5"/>
  <c r="O54" i="5"/>
  <c r="P54" i="5"/>
  <c r="S38" i="5"/>
  <c r="L38" i="5"/>
  <c r="M38" i="5"/>
  <c r="N38" i="5"/>
  <c r="O38" i="5"/>
  <c r="P38" i="5"/>
  <c r="Q38" i="5"/>
  <c r="S30" i="5"/>
  <c r="L30" i="5"/>
  <c r="M30" i="5"/>
  <c r="N30" i="5"/>
  <c r="R30" i="5"/>
  <c r="O30" i="5"/>
  <c r="P30" i="5"/>
  <c r="Q30" i="5"/>
  <c r="S22" i="5"/>
  <c r="L22" i="5"/>
  <c r="M22" i="5"/>
  <c r="N22" i="5"/>
  <c r="O22" i="5"/>
  <c r="R22" i="5"/>
  <c r="P22" i="5"/>
  <c r="Q22" i="5"/>
  <c r="S14" i="5"/>
  <c r="L14" i="5"/>
  <c r="M14" i="5"/>
  <c r="N14" i="5"/>
  <c r="O14" i="5"/>
  <c r="P14" i="5"/>
  <c r="Q14" i="5"/>
  <c r="R14" i="5"/>
  <c r="S6" i="5"/>
  <c r="L6" i="5"/>
  <c r="M6" i="5"/>
  <c r="N6" i="5"/>
  <c r="R6" i="5"/>
  <c r="O6" i="5"/>
  <c r="P6" i="5"/>
  <c r="Q6" i="5"/>
  <c r="O71" i="5"/>
  <c r="O39" i="5"/>
  <c r="O15" i="5"/>
  <c r="P95" i="5"/>
  <c r="S95" i="5"/>
  <c r="Q95" i="5"/>
  <c r="M95" i="5"/>
  <c r="R95" i="5"/>
  <c r="L95" i="5"/>
  <c r="P87" i="5"/>
  <c r="S87" i="5"/>
  <c r="Q87" i="5"/>
  <c r="M87" i="5"/>
  <c r="R87" i="5"/>
  <c r="L87" i="5"/>
  <c r="S63" i="5"/>
  <c r="L63" i="5"/>
  <c r="M63" i="5"/>
  <c r="N63" i="5"/>
  <c r="P63" i="5"/>
  <c r="Q63" i="5"/>
  <c r="R63" i="5"/>
  <c r="S55" i="5"/>
  <c r="L55" i="5"/>
  <c r="M55" i="5"/>
  <c r="N55" i="5"/>
  <c r="P55" i="5"/>
  <c r="Q55" i="5"/>
  <c r="R55" i="5"/>
  <c r="S47" i="5"/>
  <c r="L47" i="5"/>
  <c r="M47" i="5"/>
  <c r="N47" i="5"/>
  <c r="P47" i="5"/>
  <c r="Q47" i="5"/>
  <c r="R47" i="5"/>
  <c r="S23" i="5"/>
  <c r="L23" i="5"/>
  <c r="M23" i="5"/>
  <c r="N23" i="5"/>
  <c r="P23" i="5"/>
  <c r="Q23" i="5"/>
  <c r="R23" i="5"/>
  <c r="S7" i="5"/>
  <c r="L7" i="5"/>
  <c r="M7" i="5"/>
  <c r="N7" i="5"/>
  <c r="P7" i="5"/>
  <c r="Q7" i="5"/>
  <c r="R7" i="5"/>
  <c r="S78" i="5"/>
  <c r="N78" i="5"/>
  <c r="O78" i="5"/>
  <c r="L78" i="5"/>
  <c r="M78" i="5"/>
  <c r="Q78" i="5"/>
  <c r="P78" i="5"/>
  <c r="S62" i="5"/>
  <c r="L62" i="5"/>
  <c r="M62" i="5"/>
  <c r="N62" i="5"/>
  <c r="O62" i="5"/>
  <c r="P62" i="5"/>
  <c r="Q62" i="5"/>
  <c r="S46" i="5"/>
  <c r="L46" i="5"/>
  <c r="M46" i="5"/>
  <c r="N46" i="5"/>
  <c r="O46" i="5"/>
  <c r="P46" i="5"/>
  <c r="Q46" i="5"/>
  <c r="O94" i="5"/>
  <c r="N87" i="5"/>
  <c r="L79" i="5"/>
  <c r="R70" i="5"/>
  <c r="R38" i="5"/>
  <c r="S53" i="5"/>
  <c r="L53" i="5"/>
  <c r="M53" i="5"/>
  <c r="N53" i="5"/>
  <c r="S21" i="5"/>
  <c r="L21" i="5"/>
  <c r="M21" i="5"/>
  <c r="N21" i="5"/>
  <c r="O77" i="5"/>
  <c r="S76" i="5"/>
  <c r="N76" i="5"/>
  <c r="S68" i="5"/>
  <c r="L68" i="5"/>
  <c r="M68" i="5"/>
  <c r="N68" i="5"/>
  <c r="S60" i="5"/>
  <c r="L60" i="5"/>
  <c r="M60" i="5"/>
  <c r="N60" i="5"/>
  <c r="S52" i="5"/>
  <c r="L52" i="5"/>
  <c r="M52" i="5"/>
  <c r="N52" i="5"/>
  <c r="S44" i="5"/>
  <c r="L44" i="5"/>
  <c r="M44" i="5"/>
  <c r="N44" i="5"/>
  <c r="S36" i="5"/>
  <c r="L36" i="5"/>
  <c r="M36" i="5"/>
  <c r="N36" i="5"/>
  <c r="S28" i="5"/>
  <c r="L28" i="5"/>
  <c r="M28" i="5"/>
  <c r="N28" i="5"/>
  <c r="S20" i="5"/>
  <c r="L20" i="5"/>
  <c r="M20" i="5"/>
  <c r="N20" i="5"/>
  <c r="S12" i="5"/>
  <c r="L12" i="5"/>
  <c r="M12" i="5"/>
  <c r="N12" i="5"/>
  <c r="S4" i="5"/>
  <c r="L4" i="5"/>
  <c r="M4" i="5"/>
  <c r="N4" i="5"/>
  <c r="N2" i="5"/>
  <c r="L97" i="5"/>
  <c r="L96" i="5"/>
  <c r="L93" i="5"/>
  <c r="L92" i="5"/>
  <c r="L91" i="5"/>
  <c r="L90" i="5"/>
  <c r="L89" i="5"/>
  <c r="L88" i="5"/>
  <c r="L85" i="5"/>
  <c r="L84" i="5"/>
  <c r="L83" i="5"/>
  <c r="L82" i="5"/>
  <c r="L81" i="5"/>
  <c r="M77" i="5"/>
  <c r="R75" i="5"/>
  <c r="P68" i="5"/>
  <c r="P60" i="5"/>
  <c r="P52" i="5"/>
  <c r="P50" i="5"/>
  <c r="P44" i="5"/>
  <c r="P36" i="5"/>
  <c r="P28" i="5"/>
  <c r="P20" i="5"/>
  <c r="P12" i="5"/>
  <c r="P4" i="5"/>
  <c r="S69" i="5"/>
  <c r="L69" i="5"/>
  <c r="M69" i="5"/>
  <c r="N69" i="5"/>
  <c r="S29" i="5"/>
  <c r="L29" i="5"/>
  <c r="M29" i="5"/>
  <c r="N29" i="5"/>
  <c r="S5" i="5"/>
  <c r="L5" i="5"/>
  <c r="M5" i="5"/>
  <c r="N5" i="5"/>
  <c r="S59" i="5"/>
  <c r="L59" i="5"/>
  <c r="M59" i="5"/>
  <c r="N59" i="5"/>
  <c r="S35" i="5"/>
  <c r="L35" i="5"/>
  <c r="M35" i="5"/>
  <c r="N35" i="5"/>
  <c r="S11" i="5"/>
  <c r="L11" i="5"/>
  <c r="M11" i="5"/>
  <c r="N11" i="5"/>
  <c r="S91" i="5"/>
  <c r="Q75" i="5"/>
  <c r="S74" i="5"/>
  <c r="L74" i="5"/>
  <c r="M74" i="5"/>
  <c r="N74" i="5"/>
  <c r="S66" i="5"/>
  <c r="L66" i="5"/>
  <c r="M66" i="5"/>
  <c r="N66" i="5"/>
  <c r="S58" i="5"/>
  <c r="L58" i="5"/>
  <c r="M58" i="5"/>
  <c r="N58" i="5"/>
  <c r="S50" i="5"/>
  <c r="L50" i="5"/>
  <c r="M50" i="5"/>
  <c r="N50" i="5"/>
  <c r="S42" i="5"/>
  <c r="L42" i="5"/>
  <c r="M42" i="5"/>
  <c r="N42" i="5"/>
  <c r="S34" i="5"/>
  <c r="L34" i="5"/>
  <c r="M34" i="5"/>
  <c r="N34" i="5"/>
  <c r="S26" i="5"/>
  <c r="L26" i="5"/>
  <c r="M26" i="5"/>
  <c r="N26" i="5"/>
  <c r="S18" i="5"/>
  <c r="L18" i="5"/>
  <c r="M18" i="5"/>
  <c r="N18" i="5"/>
  <c r="S10" i="5"/>
  <c r="L10" i="5"/>
  <c r="M10" i="5"/>
  <c r="N10" i="5"/>
  <c r="L2" i="5"/>
  <c r="S97" i="5"/>
  <c r="R96" i="5"/>
  <c r="R93" i="5"/>
  <c r="R92" i="5"/>
  <c r="R91" i="5"/>
  <c r="R90" i="5"/>
  <c r="R89" i="5"/>
  <c r="R88" i="5"/>
  <c r="R85" i="5"/>
  <c r="R84" i="5"/>
  <c r="R83" i="5"/>
  <c r="R82" i="5"/>
  <c r="R81" i="5"/>
  <c r="R80" i="5"/>
  <c r="R76" i="5"/>
  <c r="P75" i="5"/>
  <c r="R69" i="5"/>
  <c r="R59" i="5"/>
  <c r="R53" i="5"/>
  <c r="R51" i="5"/>
  <c r="R45" i="5"/>
  <c r="R35" i="5"/>
  <c r="R29" i="5"/>
  <c r="R27" i="5"/>
  <c r="R21" i="5"/>
  <c r="R11" i="5"/>
  <c r="R5" i="5"/>
  <c r="R3" i="5"/>
  <c r="S61" i="5"/>
  <c r="L61" i="5"/>
  <c r="M61" i="5"/>
  <c r="N61" i="5"/>
  <c r="S37" i="5"/>
  <c r="L37" i="5"/>
  <c r="M37" i="5"/>
  <c r="N37" i="5"/>
  <c r="S13" i="5"/>
  <c r="L13" i="5"/>
  <c r="M13" i="5"/>
  <c r="N13" i="5"/>
  <c r="S67" i="5"/>
  <c r="L67" i="5"/>
  <c r="M67" i="5"/>
  <c r="N67" i="5"/>
  <c r="S43" i="5"/>
  <c r="L43" i="5"/>
  <c r="M43" i="5"/>
  <c r="N43" i="5"/>
  <c r="S19" i="5"/>
  <c r="L19" i="5"/>
  <c r="M19" i="5"/>
  <c r="N19" i="5"/>
  <c r="S93" i="5"/>
  <c r="S83" i="5"/>
  <c r="S73" i="5"/>
  <c r="L73" i="5"/>
  <c r="M73" i="5"/>
  <c r="N73" i="5"/>
  <c r="S65" i="5"/>
  <c r="L65" i="5"/>
  <c r="M65" i="5"/>
  <c r="N65" i="5"/>
  <c r="S57" i="5"/>
  <c r="L57" i="5"/>
  <c r="M57" i="5"/>
  <c r="N57" i="5"/>
  <c r="S49" i="5"/>
  <c r="L49" i="5"/>
  <c r="M49" i="5"/>
  <c r="N49" i="5"/>
  <c r="S41" i="5"/>
  <c r="L41" i="5"/>
  <c r="M41" i="5"/>
  <c r="N41" i="5"/>
  <c r="S33" i="5"/>
  <c r="L33" i="5"/>
  <c r="M33" i="5"/>
  <c r="N33" i="5"/>
  <c r="S25" i="5"/>
  <c r="L25" i="5"/>
  <c r="M25" i="5"/>
  <c r="N25" i="5"/>
  <c r="S17" i="5"/>
  <c r="L17" i="5"/>
  <c r="M17" i="5"/>
  <c r="N17" i="5"/>
  <c r="S9" i="5"/>
  <c r="L9" i="5"/>
  <c r="M9" i="5"/>
  <c r="N9" i="5"/>
  <c r="S2" i="5"/>
  <c r="R97" i="5"/>
  <c r="Q96" i="5"/>
  <c r="Q93" i="5"/>
  <c r="Q92" i="5"/>
  <c r="Q91" i="5"/>
  <c r="Q90" i="5"/>
  <c r="Q89" i="5"/>
  <c r="Q88" i="5"/>
  <c r="Q85" i="5"/>
  <c r="Q84" i="5"/>
  <c r="Q83" i="5"/>
  <c r="Q82" i="5"/>
  <c r="Q81" i="5"/>
  <c r="Q80" i="5"/>
  <c r="Q76" i="5"/>
  <c r="Q73" i="5"/>
  <c r="Q69" i="5"/>
  <c r="Q67" i="5"/>
  <c r="Q65" i="5"/>
  <c r="Q61" i="5"/>
  <c r="Q59" i="5"/>
  <c r="Q57" i="5"/>
  <c r="Q53" i="5"/>
  <c r="Q49" i="5"/>
  <c r="Q43" i="5"/>
  <c r="Q41" i="5"/>
  <c r="Q37" i="5"/>
  <c r="Q35" i="5"/>
  <c r="Q33" i="5"/>
  <c r="Q29" i="5"/>
  <c r="Q25" i="5"/>
  <c r="Q21" i="5"/>
  <c r="Q19" i="5"/>
  <c r="Q17" i="5"/>
  <c r="Q13" i="5"/>
  <c r="Q11" i="5"/>
  <c r="Q9" i="5"/>
  <c r="Q5" i="5"/>
  <c r="C105" i="5"/>
  <c r="C103" i="5"/>
  <c r="S77" i="5"/>
  <c r="N77" i="5"/>
  <c r="S45" i="5"/>
  <c r="L45" i="5"/>
  <c r="M45" i="5"/>
  <c r="N45" i="5"/>
  <c r="M93" i="5"/>
  <c r="M85" i="5"/>
  <c r="S75" i="5"/>
  <c r="N75" i="5"/>
  <c r="S51" i="5"/>
  <c r="L51" i="5"/>
  <c r="M51" i="5"/>
  <c r="N51" i="5"/>
  <c r="S27" i="5"/>
  <c r="L27" i="5"/>
  <c r="M27" i="5"/>
  <c r="N27" i="5"/>
  <c r="S3" i="5"/>
  <c r="L3" i="5"/>
  <c r="M3" i="5"/>
  <c r="N3" i="5"/>
  <c r="S85" i="5"/>
  <c r="S72" i="5"/>
  <c r="L72" i="5"/>
  <c r="M72" i="5"/>
  <c r="N72" i="5"/>
  <c r="S64" i="5"/>
  <c r="L64" i="5"/>
  <c r="M64" i="5"/>
  <c r="N64" i="5"/>
  <c r="S56" i="5"/>
  <c r="L56" i="5"/>
  <c r="M56" i="5"/>
  <c r="N56" i="5"/>
  <c r="S48" i="5"/>
  <c r="L48" i="5"/>
  <c r="M48" i="5"/>
  <c r="N48" i="5"/>
  <c r="S40" i="5"/>
  <c r="L40" i="5"/>
  <c r="M40" i="5"/>
  <c r="N40" i="5"/>
  <c r="S32" i="5"/>
  <c r="L32" i="5"/>
  <c r="M32" i="5"/>
  <c r="N32" i="5"/>
  <c r="S24" i="5"/>
  <c r="L24" i="5"/>
  <c r="M24" i="5"/>
  <c r="N24" i="5"/>
  <c r="S16" i="5"/>
  <c r="L16" i="5"/>
  <c r="M16" i="5"/>
  <c r="N16" i="5"/>
  <c r="S8" i="5"/>
  <c r="L8" i="5"/>
  <c r="M8" i="5"/>
  <c r="N8" i="5"/>
  <c r="Q97" i="5"/>
  <c r="P80" i="5"/>
  <c r="R77" i="5"/>
  <c r="P76" i="5"/>
  <c r="M75" i="5"/>
  <c r="P73" i="5"/>
  <c r="P69" i="5"/>
  <c r="P67" i="5"/>
  <c r="P65" i="5"/>
  <c r="P61" i="5"/>
  <c r="P59" i="5"/>
  <c r="P57" i="5"/>
  <c r="P53" i="5"/>
  <c r="P51" i="5"/>
  <c r="P49" i="5"/>
  <c r="P45" i="5"/>
  <c r="P43" i="5"/>
  <c r="P41" i="5"/>
  <c r="P37" i="5"/>
  <c r="P35" i="5"/>
  <c r="P33" i="5"/>
  <c r="P29" i="5"/>
  <c r="P27" i="5"/>
  <c r="P25" i="5"/>
  <c r="P21" i="5"/>
  <c r="P19" i="5"/>
  <c r="P17" i="5"/>
  <c r="P13" i="5"/>
  <c r="P11" i="5"/>
  <c r="P9" i="5"/>
  <c r="P5" i="5"/>
  <c r="P3" i="5"/>
  <c r="K103" i="5"/>
  <c r="G103" i="5"/>
  <c r="G104" i="5" s="1"/>
  <c r="F103" i="5"/>
  <c r="F104" i="5" s="1"/>
  <c r="E103" i="5"/>
  <c r="E104" i="5" s="1"/>
  <c r="R103" i="5" l="1"/>
  <c r="Q105" i="5"/>
  <c r="O105" i="5"/>
  <c r="K104" i="5"/>
  <c r="R105" i="5"/>
  <c r="R101" i="5"/>
  <c r="R100" i="5"/>
  <c r="R102" i="5"/>
  <c r="Q103" i="5"/>
  <c r="C99" i="5"/>
  <c r="C104" i="5"/>
  <c r="S102" i="5"/>
  <c r="O103" i="5"/>
  <c r="M106" i="5"/>
  <c r="M100" i="5"/>
  <c r="M102" i="5"/>
  <c r="M101" i="5"/>
  <c r="N106" i="5"/>
  <c r="N100" i="5"/>
  <c r="N102" i="5"/>
  <c r="N101" i="5"/>
  <c r="S106" i="5"/>
  <c r="Q101" i="5"/>
  <c r="Q106" i="5"/>
  <c r="Q107" i="5" s="1"/>
  <c r="Q102" i="5"/>
  <c r="Q104" i="5" s="1"/>
  <c r="Q100" i="5"/>
  <c r="P101" i="5"/>
  <c r="P106" i="5"/>
  <c r="P100" i="5"/>
  <c r="P102" i="5"/>
  <c r="L100" i="5"/>
  <c r="L102" i="5"/>
  <c r="L106" i="5"/>
  <c r="L101" i="5"/>
  <c r="S101" i="5"/>
  <c r="O106" i="5"/>
  <c r="O100" i="5"/>
  <c r="O101" i="5"/>
  <c r="O102" i="5"/>
  <c r="O104" i="5" s="1"/>
  <c r="M105" i="5"/>
  <c r="M103" i="5"/>
  <c r="L103" i="5"/>
  <c r="L105" i="5"/>
  <c r="P105" i="5"/>
  <c r="P103" i="5"/>
  <c r="S103" i="5"/>
  <c r="S104" i="5" s="1"/>
  <c r="S105" i="5"/>
  <c r="N105" i="5"/>
  <c r="N103" i="5"/>
  <c r="N104" i="5" s="1"/>
  <c r="R104" i="5" l="1"/>
  <c r="P104" i="5"/>
  <c r="L104" i="5"/>
  <c r="N107" i="5"/>
  <c r="P107" i="5"/>
  <c r="M104" i="5"/>
  <c r="L107" i="5"/>
  <c r="O107" i="5"/>
  <c r="M107" i="5"/>
  <c r="S100" i="5"/>
  <c r="S107" i="5" s="1"/>
  <c r="K106" i="5"/>
  <c r="K107" i="5" s="1"/>
  <c r="R106" i="5"/>
  <c r="R107" i="5" s="1"/>
  <c r="C106" i="5"/>
  <c r="C107" i="5"/>
</calcChain>
</file>

<file path=xl/sharedStrings.xml><?xml version="1.0" encoding="utf-8"?>
<sst xmlns="http://schemas.openxmlformats.org/spreadsheetml/2006/main" count="578" uniqueCount="322">
  <si>
    <t>01</t>
  </si>
  <si>
    <t>Ain</t>
  </si>
  <si>
    <t>02</t>
  </si>
  <si>
    <t>Aisne</t>
  </si>
  <si>
    <t>03</t>
  </si>
  <si>
    <t>Allier</t>
  </si>
  <si>
    <t>04</t>
  </si>
  <si>
    <t>Alpes-de-Haute-Provence</t>
  </si>
  <si>
    <t>05</t>
  </si>
  <si>
    <t>Hautes-Alpes</t>
  </si>
  <si>
    <t>06</t>
  </si>
  <si>
    <t>Alpes-Maritimes</t>
  </si>
  <si>
    <t>07</t>
  </si>
  <si>
    <t>Ardèche</t>
  </si>
  <si>
    <t>08</t>
  </si>
  <si>
    <t>Ardennes</t>
  </si>
  <si>
    <t>09</t>
  </si>
  <si>
    <t>Ariège</t>
  </si>
  <si>
    <t>10</t>
  </si>
  <si>
    <t>Aube</t>
  </si>
  <si>
    <t>11</t>
  </si>
  <si>
    <t>Aude</t>
  </si>
  <si>
    <t>12</t>
  </si>
  <si>
    <t>Aveyron</t>
  </si>
  <si>
    <t>13</t>
  </si>
  <si>
    <t>Bouches-du-Rhône</t>
  </si>
  <si>
    <t>14</t>
  </si>
  <si>
    <t>Calvados</t>
  </si>
  <si>
    <t>15</t>
  </si>
  <si>
    <t>Cantal</t>
  </si>
  <si>
    <t>16</t>
  </si>
  <si>
    <t>Charente</t>
  </si>
  <si>
    <t>17</t>
  </si>
  <si>
    <t>Charente-Maritime</t>
  </si>
  <si>
    <t>18</t>
  </si>
  <si>
    <t>Cher</t>
  </si>
  <si>
    <t>19</t>
  </si>
  <si>
    <t>Corrèze</t>
  </si>
  <si>
    <t>2A</t>
  </si>
  <si>
    <t>Corse-du-Sud</t>
  </si>
  <si>
    <t>2B</t>
  </si>
  <si>
    <t>Haute-Corse</t>
  </si>
  <si>
    <t>21</t>
  </si>
  <si>
    <t>Côte-d'Or</t>
  </si>
  <si>
    <t>22</t>
  </si>
  <si>
    <t>Côtes-d'Armor</t>
  </si>
  <si>
    <t>23</t>
  </si>
  <si>
    <t>Creuse</t>
  </si>
  <si>
    <t>24</t>
  </si>
  <si>
    <t>Dordogne</t>
  </si>
  <si>
    <t>25</t>
  </si>
  <si>
    <t>Doubs</t>
  </si>
  <si>
    <t>26</t>
  </si>
  <si>
    <t>Drôme</t>
  </si>
  <si>
    <t>27</t>
  </si>
  <si>
    <t>Eure</t>
  </si>
  <si>
    <t>28</t>
  </si>
  <si>
    <t>Eure-et-Loir</t>
  </si>
  <si>
    <t>29</t>
  </si>
  <si>
    <t>Finistère</t>
  </si>
  <si>
    <t>30</t>
  </si>
  <si>
    <t>Gard</t>
  </si>
  <si>
    <t>31</t>
  </si>
  <si>
    <t>Haute-Garonne</t>
  </si>
  <si>
    <t>32</t>
  </si>
  <si>
    <t>Gers</t>
  </si>
  <si>
    <t>33</t>
  </si>
  <si>
    <t>Gironde</t>
  </si>
  <si>
    <t>34</t>
  </si>
  <si>
    <t>Hérault</t>
  </si>
  <si>
    <t>35</t>
  </si>
  <si>
    <t>Ille-et-Vilaine</t>
  </si>
  <si>
    <t>36</t>
  </si>
  <si>
    <t>Indre</t>
  </si>
  <si>
    <t>37</t>
  </si>
  <si>
    <t>Indre-et-Loire</t>
  </si>
  <si>
    <t>38</t>
  </si>
  <si>
    <t>Isère</t>
  </si>
  <si>
    <t>39</t>
  </si>
  <si>
    <t>Jura</t>
  </si>
  <si>
    <t>40</t>
  </si>
  <si>
    <t>Landes</t>
  </si>
  <si>
    <t>41</t>
  </si>
  <si>
    <t>Loir-et-Cher</t>
  </si>
  <si>
    <t>42</t>
  </si>
  <si>
    <t>Loire</t>
  </si>
  <si>
    <t>43</t>
  </si>
  <si>
    <t>Haute-Loire</t>
  </si>
  <si>
    <t>44</t>
  </si>
  <si>
    <t>Loire-Atlantique</t>
  </si>
  <si>
    <t>45</t>
  </si>
  <si>
    <t>Loiret</t>
  </si>
  <si>
    <t>46</t>
  </si>
  <si>
    <t>Lot</t>
  </si>
  <si>
    <t>47</t>
  </si>
  <si>
    <t>Lot-et-Garonne</t>
  </si>
  <si>
    <t>48</t>
  </si>
  <si>
    <t>Lozère</t>
  </si>
  <si>
    <t>49</t>
  </si>
  <si>
    <t>Maine-et-Loire</t>
  </si>
  <si>
    <t>50</t>
  </si>
  <si>
    <t>Manche</t>
  </si>
  <si>
    <t>51</t>
  </si>
  <si>
    <t>Marne</t>
  </si>
  <si>
    <t>52</t>
  </si>
  <si>
    <t>Haute-Marne</t>
  </si>
  <si>
    <t>53</t>
  </si>
  <si>
    <t>Mayenne</t>
  </si>
  <si>
    <t>54</t>
  </si>
  <si>
    <t>Meurthe-et-Moselle</t>
  </si>
  <si>
    <t>55</t>
  </si>
  <si>
    <t>Meuse</t>
  </si>
  <si>
    <t>56</t>
  </si>
  <si>
    <t>Morbihan</t>
  </si>
  <si>
    <t>57</t>
  </si>
  <si>
    <t>Moselle</t>
  </si>
  <si>
    <t>58</t>
  </si>
  <si>
    <t>Nièvre</t>
  </si>
  <si>
    <t>59</t>
  </si>
  <si>
    <t>Nord</t>
  </si>
  <si>
    <t>60</t>
  </si>
  <si>
    <t>Oise</t>
  </si>
  <si>
    <t>61</t>
  </si>
  <si>
    <t>Orne</t>
  </si>
  <si>
    <t>62</t>
  </si>
  <si>
    <t>Pas-de-Calais</t>
  </si>
  <si>
    <t>63</t>
  </si>
  <si>
    <t>Puy-de-Dôme</t>
  </si>
  <si>
    <t>64</t>
  </si>
  <si>
    <t>Pyrénées-Atlantiques</t>
  </si>
  <si>
    <t>65</t>
  </si>
  <si>
    <t>Hautes-Pyrénées</t>
  </si>
  <si>
    <t>66</t>
  </si>
  <si>
    <t>Pyrénées-Orientales</t>
  </si>
  <si>
    <t>67</t>
  </si>
  <si>
    <t>Bas-Rhin</t>
  </si>
  <si>
    <t>68</t>
  </si>
  <si>
    <t>Haut-Rhin</t>
  </si>
  <si>
    <t>69</t>
  </si>
  <si>
    <t>Rhône</t>
  </si>
  <si>
    <t>70</t>
  </si>
  <si>
    <t>Haute-Saône</t>
  </si>
  <si>
    <t>71</t>
  </si>
  <si>
    <t>Saône-et-Loire</t>
  </si>
  <si>
    <t>72</t>
  </si>
  <si>
    <t>Sarthe</t>
  </si>
  <si>
    <t>73</t>
  </si>
  <si>
    <t>Savoie</t>
  </si>
  <si>
    <t>74</t>
  </si>
  <si>
    <t>Haute-Savoie</t>
  </si>
  <si>
    <t>75</t>
  </si>
  <si>
    <t>Paris</t>
  </si>
  <si>
    <t>76</t>
  </si>
  <si>
    <t>Seine-Maritime</t>
  </si>
  <si>
    <t>77</t>
  </si>
  <si>
    <t>Seine-et-Marne</t>
  </si>
  <si>
    <t>78</t>
  </si>
  <si>
    <t>Yvelines</t>
  </si>
  <si>
    <t>79</t>
  </si>
  <si>
    <t>Deux-Sèvres</t>
  </si>
  <si>
    <t>80</t>
  </si>
  <si>
    <t>Somme</t>
  </si>
  <si>
    <t>81</t>
  </si>
  <si>
    <t>Tarn</t>
  </si>
  <si>
    <t>82</t>
  </si>
  <si>
    <t>Tarn-et-Garonne</t>
  </si>
  <si>
    <t>83</t>
  </si>
  <si>
    <t>Var</t>
  </si>
  <si>
    <t>84</t>
  </si>
  <si>
    <t>Vaucluse</t>
  </si>
  <si>
    <t>85</t>
  </si>
  <si>
    <t>Vendée</t>
  </si>
  <si>
    <t>86</t>
  </si>
  <si>
    <t>Vienne</t>
  </si>
  <si>
    <t>87</t>
  </si>
  <si>
    <t>Haute-Vienne</t>
  </si>
  <si>
    <t>88</t>
  </si>
  <si>
    <t>Vosges</t>
  </si>
  <si>
    <t>89</t>
  </si>
  <si>
    <t>Yonne</t>
  </si>
  <si>
    <t>90</t>
  </si>
  <si>
    <t>Territoire de Belfort</t>
  </si>
  <si>
    <t>91</t>
  </si>
  <si>
    <t>Essonne</t>
  </si>
  <si>
    <t>92</t>
  </si>
  <si>
    <t>Hauts-de-Seine</t>
  </si>
  <si>
    <t>93</t>
  </si>
  <si>
    <t>Seine-Saint-Denis</t>
  </si>
  <si>
    <t>94</t>
  </si>
  <si>
    <t>Val-de-Marne</t>
  </si>
  <si>
    <t>95</t>
  </si>
  <si>
    <t>Val-d'Oise</t>
  </si>
  <si>
    <t>NOM</t>
  </si>
  <si>
    <t>Agriculteur</t>
  </si>
  <si>
    <t>Artisan-commerçant</t>
  </si>
  <si>
    <t>Cadre</t>
  </si>
  <si>
    <t>Profession intermédiaire</t>
  </si>
  <si>
    <t>Employé</t>
  </si>
  <si>
    <t>Ouvrier</t>
  </si>
  <si>
    <t>Retraité</t>
  </si>
  <si>
    <t>Autres</t>
  </si>
  <si>
    <t>CODE_DEPT</t>
  </si>
  <si>
    <t>Statistique L2S1</t>
  </si>
  <si>
    <t>1.2 Quel est l'ensemble (ou population) considérée ?</t>
  </si>
  <si>
    <t>Quanti / Quali (Quantitatif / Qualitatif)</t>
  </si>
  <si>
    <t>N / O (Nominal / Ordinal)</t>
  </si>
  <si>
    <t>C / D (Continu / Discret)</t>
  </si>
  <si>
    <t>S / R (Stock / Rapport)</t>
  </si>
  <si>
    <t>Quanti / Quali</t>
  </si>
  <si>
    <t>C / D</t>
  </si>
  <si>
    <t>S / R</t>
  </si>
  <si>
    <t>Exercice 2 - Appliquer des fonctions</t>
  </si>
  <si>
    <t>Exercice 3 - Centralité, dispersion, forme des distributions</t>
  </si>
  <si>
    <t>Moyenne</t>
  </si>
  <si>
    <t>Médiane</t>
  </si>
  <si>
    <t>Minimum</t>
  </si>
  <si>
    <t>Maximum</t>
  </si>
  <si>
    <t>Etendue</t>
  </si>
  <si>
    <t>Coefficient de variation</t>
  </si>
  <si>
    <t>Types de variables et rappels de statistique univariée</t>
  </si>
  <si>
    <t>Exercice 1 - Comprendre les données</t>
  </si>
  <si>
    <t>Caractériser le tableau de données (feuille CSP) :</t>
  </si>
  <si>
    <t>1.1 Quelle est l'unité statistique (enregistrement ou individu, ou cas) ?</t>
  </si>
  <si>
    <t>1.4 Renseigner le type des variables</t>
  </si>
  <si>
    <t>2.1 Calculer pour chaque département le total des CSP (total en ligne)</t>
  </si>
  <si>
    <t>2.2 Calculer la part de chaque CSP dans chaque département (pourcentage en ligne).</t>
  </si>
  <si>
    <t>2.3 Calculer le total des variables dans l’espace d’étude (total en colonne)</t>
  </si>
  <si>
    <t>Effectif</t>
  </si>
  <si>
    <t>Variance</t>
  </si>
  <si>
    <t>Écart-type</t>
  </si>
  <si>
    <t>MÉTADONNÉES DU JEU DE DONNÉES</t>
  </si>
  <si>
    <t>Question</t>
  </si>
  <si>
    <t>Réponse</t>
  </si>
  <si>
    <t>Qui a produit la donnée ?</t>
  </si>
  <si>
    <t>INSEE - Institut national de la statistique et des études économiques</t>
  </si>
  <si>
    <t>Quand ?</t>
  </si>
  <si>
    <t>2012</t>
  </si>
  <si>
    <t>Comment ?</t>
  </si>
  <si>
    <t>Données statistiques organisées par département français et par catégorie socioprofessionnelle (CSP). La méthode précise de collecte n’est pas indiquée dans le fichier fourni ; elle doit être vérifiée dans la documentation INSEE associée.</t>
  </si>
  <si>
    <t>Selon quelle définition ?</t>
  </si>
  <si>
    <t>Le jeu de données présente des effectifs de population répartis selon plusieurs catégories socioprofessionnelles : Agriculteur, Artisan-commerçant, Cadre, Profession intermédiaire, Employé, Ouvrier, Retraité et Autres.</t>
  </si>
  <si>
    <t>Avec quelle unité ?</t>
  </si>
  <si>
    <t>Nombre de personnes (effectifs). Les valeurs sont donc des valeurs absolues.</t>
  </si>
  <si>
    <t>Avec quelles limites ?</t>
  </si>
  <si>
    <t>Les données datent de 2012. Les effectifs bruts sont influencés par la taille de la population de chaque département et ne permettent pas toujours une comparaison directe entre départements. Le fichier ne contient pas de géométrie : une couche géographique des départements est nécessaire pour réaliser une carte.</t>
  </si>
  <si>
    <t>Jeu de données</t>
  </si>
  <si>
    <t>Catégories socioprofessionnelles (CSP) par département français</t>
  </si>
  <si>
    <t>Échelle géographique</t>
  </si>
  <si>
    <t>Département</t>
  </si>
  <si>
    <t>Identifiant géographique</t>
  </si>
  <si>
    <t>Code du département</t>
  </si>
  <si>
    <t>Résultat</t>
  </si>
  <si>
    <t>3.1 Calculer les valeurs suivantes pour chaque CSP</t>
  </si>
  <si>
    <t>Partie A – Travailler sur les effectifs bruts</t>
  </si>
  <si>
    <t>Partie B – Refaire le calcul sur les proportions</t>
  </si>
  <si>
    <t>1.3 Dans quelle unité sont exprimées les variables correspondant aux CSP ?</t>
  </si>
  <si>
    <t>3.2 Trier les départements selon l’effectif de cadres. Identifier les cinq valeurs les plus élevées et les cinq plus faibles.</t>
  </si>
  <si>
    <t xml:space="preserve">    -Peut-on en conclure que les cadres sont proportionnellement beaucoup plus présents dans le Nord que dans un petit département ?</t>
  </si>
  <si>
    <t>3.3 Refaire l’analyse en utilisant la part des cadres</t>
  </si>
  <si>
    <t xml:space="preserve">    -Trier maintenant les départements selon la part des cadres dans l’ensemble des CSP. Les résultats sont-ils identiques ?</t>
  </si>
  <si>
    <t>3.4 Les conclusions sont-elles les mêmes lorsque l’on raisonne en effectifs et en proportions ? Pourquoi ?</t>
  </si>
  <si>
    <t>3.5 Même expérience avec les agriculteurs</t>
  </si>
  <si>
    <t xml:space="preserve">   -Identifier les cinq départements comptant le plus d’agriculteurs. Puis identifier les cinq départements où la part des agriculteurs est la plus élevée. Comparez les deux classements.</t>
  </si>
  <si>
    <t>3.6 Pourquoi calculer des proportions avant de comparer les territoires ?</t>
  </si>
  <si>
    <t xml:space="preserve">   -En abscisse : Part des cadres (%) regroupée en classes</t>
  </si>
  <si>
    <t xml:space="preserve">   -En ordonnée : Nombre de départements</t>
  </si>
  <si>
    <t xml:space="preserve">   -Quelle différence existe-t-il entre cet histogramme et le diagramme en bâtons ?</t>
  </si>
  <si>
    <t>3.8 Construire un diagramme en bâtons représentant la part des agriculteurs dans chaque département. Placer les départements en abscisse et la part des agriculteurs (%) en ordonnée.</t>
  </si>
  <si>
    <t>3.9 Calculer les mesures de dispersion sur les effectifs</t>
  </si>
  <si>
    <t>3.10 Quelle CSP présente la plus grande dispersion ?</t>
  </si>
  <si>
    <t>3.11 Pourquoi ne peut-on pas se contenter de comparer les écarts-types ?</t>
  </si>
  <si>
    <t>3.12 À quoi sert alors le coefficient de variation ?</t>
  </si>
  <si>
    <t>3.13 Refaire maintenant les calculs de dispersion sur les proportions</t>
  </si>
  <si>
    <t xml:space="preserve">   -La CSP la plus dispersée est-elle la même selon que l’on étudie les effectifs ou les proportions ?</t>
  </si>
  <si>
    <t>3.15 Que nous apprennent les statistiques avant même de réaliser la carte ?</t>
  </si>
  <si>
    <t>N / O</t>
  </si>
  <si>
    <t xml:space="preserve"> Quali </t>
  </si>
  <si>
    <t>N</t>
  </si>
  <si>
    <t xml:space="preserve">Quanti </t>
  </si>
  <si>
    <t>D</t>
  </si>
  <si>
    <t>S</t>
  </si>
  <si>
    <t>L’unité statistique est le département, car chaque ligne du tableau correspond à un département.</t>
  </si>
  <si>
    <t>La population statistique correspond à l’ensemble des 96 départements présents dans le fichier.</t>
  </si>
  <si>
    <t>Les variables Agriculteur, Cadre, Employé, etc. correspondent à des effectifs, donc à un nombre de personnes appartenant à une catégorie socioprofessionnelle.</t>
  </si>
  <si>
    <t>Total</t>
  </si>
  <si>
    <t>Part_Agriculteur</t>
  </si>
  <si>
    <t>Part_Artisan-commerçant</t>
  </si>
  <si>
    <t>Part_Cadre</t>
  </si>
  <si>
    <t>Part_Profession intermédiaire</t>
  </si>
  <si>
    <t>Part_Employé</t>
  </si>
  <si>
    <t>Part_Ouvrier</t>
  </si>
  <si>
    <t>Part_Retraité</t>
  </si>
  <si>
    <t>Part_Autres</t>
  </si>
  <si>
    <t>Voir Correction</t>
  </si>
  <si>
    <t>La moyenne et la médiane sont-elles toujours proches ?</t>
  </si>
  <si>
    <t>Non. La moyenne (44756.697) est presque deux fois supérieure à la médiane (23069.5 ). Cela suggère une distribution fortement dissymétrique, avec quelques départements possédant des effectifs de cadres particulièrement élevés.</t>
  </si>
  <si>
    <t>Effectifs de cadres les plus élevés</t>
  </si>
  <si>
    <t>Effectifs les plus faibles</t>
  </si>
  <si>
    <t>Non. Nous comparons ici des effectifs absolus. Or les départements n’ont pas la même taille démographique. Un grand département peut avoir beaucoup de cadres simplement parce qu’il compte beaucoup plus d’habitants ou d’actifs.</t>
  </si>
  <si>
    <t>Part des cadres</t>
  </si>
  <si>
    <t>Cardres</t>
  </si>
  <si>
    <t>Cinq parts de cadres les plus élevées</t>
  </si>
  <si>
    <t>Cinq parts les plus faibles</t>
  </si>
  <si>
    <t>Non. Les effectifs bruts mesurent un nombre de personnes. Ils sont fortement influencés par la taille de la population du département. Les proportions mesurent au contraire le poids relatif d’une catégorie dans la population étudiée.
Ainsi : Effectif = combien ? et Proportion = quelle part ?
C’est une distinction fondamentale en analyse territoriale. Un département très peuplé peut avoir un effectif important de cadres sans que les cadres y occupent une place particulièrement importante dans la structure socioprofessionnelle. À l’inverse, un département moins peuplé peut avoir relativement peu de cadres en nombre mais une proportion élevée de cadres.</t>
  </si>
  <si>
    <t>Effectifs des agriculteurs les plus élevés</t>
  </si>
  <si>
    <t>Proportion des agriculteurs les plus élevés</t>
  </si>
  <si>
    <t>Agriculteurs</t>
  </si>
  <si>
    <t>Part des agriculteurs</t>
  </si>
  <si>
    <t>Le nombre absolu d’agriculteurs et le poids de l’agriculture dans la structure socioprofessionnelle sont deux informations différentes. L’Aveyron apparaît dans les deux classements, mais ce n’est pas le cas de tous les départements.</t>
  </si>
  <si>
    <t>Parce que les territoires étudiés n’ont pas la même taille. On transforme Effectif → Proportion pour normaliser les données. Cela facilite les comparaisons entre départements. Pour résumer, les effectifs décrivent un volume ; les proportions décrivent une structure.</t>
  </si>
  <si>
    <t>3.7 Constuire l'histogramme de la variable part des cadres . Interpréter le résultat obtenu.</t>
  </si>
  <si>
    <t>Voir Correction. La distribution n’est pas parfaitement symétrique. Quelques départements présentent des proportions de cadres particulièrement élevées, notamment Paris et les Hauts-de-Seine. Paris atteint environ 36,75 %, alors que de nombreux départements se situent à des niveaux beaucoup plus faibles. On observe donc une distribution avec une queue vers les valeurs élevées.</t>
  </si>
  <si>
    <t>Histogramme : représente la distribution d’une variable quantitative. Les observations sont regroupées en classes. Diagramme en bâtons : chaque barre correspond ici à un département identifié.
Donc : histogramme → comprendre la distribution statistique ; diagramme en bâtons → comparer les territoires.</t>
  </si>
  <si>
    <t>Parce que les différentes CSP n’ont pas les mêmes moyennes. L’écart-type mesure une dispersion absolue, exprimée dans la même unité que la variable.
Une série présentant des valeurs globalement plus importantes peut donc avoir un écart-type plus élevé.</t>
  </si>
  <si>
    <t>Il rapporte l’écart-type à la moyenne. Il mesure donc une dispersion relative et permet de comparer des séries ayant des ordres de grandeur différents.</t>
  </si>
  <si>
    <t>En écart-type absolu, les employés et les cadres présentent notamment des valeurs très importantes. Mais l’écart-type doit être interprété relativement au niveau moyen de chaque variable. Avec le coefficient de variation, les cadres se distinguent très nettement : CV_cadres  ≈ 147,44%</t>
  </si>
  <si>
    <t>Non nécessairement, car les deux analyses ne mesurent pas exactement la même chose.
Sur les effectifs, la dispersion reflète à la fois :
          -les différences de taille entre départements ;
          -les différences de structure socioprofessionnelle.
Sur les proportions, l’effet de taille est en grande partie neutralisé : on observe davantage les différences de structure socioprofessionnelle entre départements.
C’est particulièrement visible avec les agriculteurs. Leur effectif moyen est relativement faible, mais leur coefficient de variation sur les proportions atteint environ 79 %. Cela signifie que leur poids relatif varie fortement d’un département à l’autre.
À l’inverse, la part des employés est beaucoup plus homogène : CV ≈ 6,09%. Le poids des employés varie donc relativement peu entre les départements étudiés.</t>
  </si>
  <si>
    <t>3.14 Vous souhaitez maintenant cartographier la répartition d’une CSP en France. Faut-il cartographier les effectifs ou les proportions ? Les deux cartes donneraient-elles la même information ? Justifiez votre réponse.</t>
  </si>
  <si>
    <t>Cela dépend de la question posée.
Cartographier les effectifs répond à : « Où trouve-t-on le plus grand nombre de personnes appartenant à cette CSP ? » La carte sera cependant fortement influencée par la taille démographique des départements.
Cartographier les proportions répond plutôt à : « Dans quels départements cette CSP occupe-t-elle une place importante dans la structure socioprofessionnelle ? » La proportion permet donc généralement de mieux comparer la structure des territoires.
Les deux cartes sont donc légitimes, mais elles ne répondent pas à la même question.</t>
  </si>
  <si>
    <t>Avant de cartographier une variable, l’analyse statistique permet de connaître :
      -son ordre de grandeur ;
      -sa moyenne et sa médiane ;
      -son minimum et son maximum ;
      -son niveau de dispersion ;
      -la forme de sa distribution ;
      -l’existence éventuelle de valeurs atypiques ou extrêmes ;
      -les différences entre les territoires ;
      -l’effet éventuel de la taille des territoires sur les effectifs ;
      -la différence entre volume absolu et poids relatif.
Ces informations sont essentielles avant la cartographie, car elles permettent de savoir ce que l’on souhaite représenter et de comprendre la distribution qui devra ensuite être découpée en classes.</t>
  </si>
  <si>
    <r>
      <rPr>
        <sz val="11"/>
        <color theme="2" tint="-0.89999084444715716"/>
        <rFont val="Arial Nova"/>
        <family val="2"/>
      </rPr>
      <t>Chaine à retenir</t>
    </r>
    <r>
      <rPr>
        <b/>
        <sz val="10"/>
        <color theme="2" tint="-0.89999084444715716"/>
        <rFont val="Arial Nova"/>
        <family val="2"/>
      </rPr>
      <t xml:space="preserve">
  Données brutes → Effectifs → Proportions → Indicateurs statistiques → Distribution → Comparaison des territoires → Cartographie
</t>
    </r>
    <r>
      <rPr>
        <sz val="11"/>
        <color theme="2" tint="-0.89999084444715716"/>
        <rFont val="Arial Nova"/>
        <family val="2"/>
      </rPr>
      <t xml:space="preserve">
Et trois idées également à retenir :</t>
    </r>
    <r>
      <rPr>
        <b/>
        <sz val="10"/>
        <color theme="2" tint="-0.89999084444715716"/>
        <rFont val="Arial Nova"/>
        <family val="2"/>
      </rPr>
      <t xml:space="preserve">
  1. Un effectif répond à « combien ? ».
  2. Une proportion répond à « quelle part ? ».
  3. Comparer des territoires de tailles différentes nécessite souvent de normaliser les données.</t>
    </r>
  </si>
  <si>
    <t>Le classement a changé. Par exemple, le Nord faisait partie des cinq départements ayant les plus grands effectifs de cadres, mais il ne fait plus partie des cinq premiers lorsque l’on considère leur part dans les CSP. Inversement, le Val-de-Marne apparaît parmi les départements ayant les parts de cadres les plus importantes.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</si>
</sst>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6" x14ac:knownFonts="1">
    <font>
      <sz val="10"/>
      <name val="Arial"/>
    </font>
    <font>
      <sz val="11"/>
      <color theme="1"/>
      <name val="Calibri"/>
      <family val="2"/>
      <scheme val="minor"/>
    </font>
    <font>
      <sz val="10"/>
      <name val="Arial"/>
      <family val="2"/>
    </font>
    <font>
      <sz val="11"/>
      <color theme="1"/>
      <name val="Calibri"/>
      <family val="2"/>
      <scheme val="minor"/>
    </font>
    <font>
      <sz val="11"/>
      <color theme="0"/>
      <name val="Calibri"/>
      <family val="2"/>
      <scheme val="minor"/>
    </font>
    <font>
      <sz val="11"/>
      <color rgb="FFFF0000"/>
      <name val="Calibri"/>
      <family val="2"/>
      <scheme val="minor"/>
    </font>
    <font>
      <b/>
      <sz val="11"/>
      <color rgb="FFFA7D00"/>
      <name val="Calibri"/>
      <family val="2"/>
      <scheme val="minor"/>
    </font>
    <font>
      <sz val="11"/>
      <color rgb="FFFA7D00"/>
      <name val="Calibri"/>
      <family val="2"/>
      <scheme val="minor"/>
    </font>
    <font>
      <sz val="11"/>
      <color rgb="FF3F3F76"/>
      <name val="Calibri"/>
      <family val="2"/>
      <scheme val="minor"/>
    </font>
    <font>
      <sz val="11"/>
      <color rgb="FF9C0006"/>
      <name val="Calibri"/>
      <family val="2"/>
      <scheme val="minor"/>
    </font>
    <font>
      <sz val="11"/>
      <color rgb="FF9C6500"/>
      <name val="Calibri"/>
      <family val="2"/>
      <scheme val="minor"/>
    </font>
    <font>
      <sz val="11"/>
      <color rgb="FF006100"/>
      <name val="Calibri"/>
      <family val="2"/>
      <scheme val="minor"/>
    </font>
    <font>
      <b/>
      <sz val="11"/>
      <color rgb="FF3F3F3F"/>
      <name val="Calibri"/>
      <family val="2"/>
      <scheme val="minor"/>
    </font>
    <font>
      <i/>
      <sz val="11"/>
      <color rgb="FF7F7F7F"/>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b/>
      <sz val="11"/>
      <color theme="1"/>
      <name val="Calibri"/>
      <family val="2"/>
      <scheme val="minor"/>
    </font>
    <font>
      <b/>
      <sz val="11"/>
      <color theme="0"/>
      <name val="Calibri"/>
      <family val="2"/>
      <scheme val="minor"/>
    </font>
    <font>
      <b/>
      <sz val="24"/>
      <color rgb="FF800000"/>
      <name val="Arial"/>
      <family val="2"/>
      <charset val="1"/>
    </font>
    <font>
      <b/>
      <i/>
      <sz val="14"/>
      <color rgb="FF800000"/>
      <name val="Arial"/>
      <family val="2"/>
      <charset val="1"/>
    </font>
    <font>
      <b/>
      <sz val="16"/>
      <name val="Arial"/>
      <family val="2"/>
      <charset val="1"/>
    </font>
    <font>
      <b/>
      <i/>
      <sz val="10"/>
      <name val="Arial"/>
      <family val="2"/>
      <charset val="1"/>
    </font>
    <font>
      <b/>
      <sz val="10"/>
      <color rgb="FF0070C0"/>
      <name val="Arial"/>
      <family val="2"/>
    </font>
    <font>
      <b/>
      <u/>
      <sz val="10"/>
      <name val="Arial"/>
      <family val="2"/>
      <charset val="1"/>
    </font>
    <font>
      <b/>
      <sz val="10"/>
      <name val="Arial"/>
      <family val="2"/>
      <charset val="1"/>
    </font>
    <font>
      <sz val="10"/>
      <color rgb="FF7030A0"/>
      <name val="Arial"/>
      <family val="2"/>
      <charset val="1"/>
    </font>
    <font>
      <b/>
      <sz val="10"/>
      <name val="Arial"/>
      <family val="2"/>
    </font>
    <font>
      <b/>
      <sz val="10"/>
      <color rgb="FFFFFFFF"/>
      <name val="Arial"/>
      <family val="2"/>
    </font>
    <font>
      <i/>
      <sz val="10"/>
      <name val="Arial"/>
      <family val="2"/>
    </font>
    <font>
      <b/>
      <i/>
      <sz val="10"/>
      <name val="Arial"/>
      <family val="2"/>
    </font>
    <font>
      <sz val="10"/>
      <name val="Arial"/>
      <family val="2"/>
      <charset val="1"/>
    </font>
    <font>
      <b/>
      <sz val="13.5"/>
      <name val="Arial"/>
      <family val="2"/>
    </font>
    <font>
      <sz val="10"/>
      <name val="Arial"/>
      <family val="2"/>
    </font>
    <font>
      <b/>
      <sz val="10"/>
      <color rgb="FF002060"/>
      <name val="Arial"/>
      <family val="2"/>
    </font>
    <font>
      <b/>
      <sz val="10"/>
      <color rgb="FF002060"/>
      <name val="Arial Nova"/>
      <family val="2"/>
    </font>
    <font>
      <sz val="10"/>
      <color rgb="FF002060"/>
      <name val="Arial Nova"/>
      <family val="2"/>
    </font>
    <font>
      <sz val="10"/>
      <name val="Arial Nova"/>
      <family val="2"/>
    </font>
    <font>
      <b/>
      <sz val="10"/>
      <color rgb="FF002060"/>
      <name val="Arial"/>
      <family val="2"/>
      <charset val="1"/>
    </font>
    <font>
      <b/>
      <sz val="10"/>
      <color theme="8" tint="-0.499984740745262"/>
      <name val="Arial Nova"/>
      <family val="2"/>
    </font>
    <font>
      <sz val="10"/>
      <color theme="8" tint="-0.499984740745262"/>
      <name val="Arial Nova"/>
      <family val="2"/>
    </font>
    <font>
      <b/>
      <sz val="10"/>
      <color theme="9" tint="-0.499984740745262"/>
      <name val="Arial"/>
      <family val="2"/>
    </font>
    <font>
      <b/>
      <sz val="10"/>
      <color rgb="FFFF0000"/>
      <name val="Arial"/>
      <family val="2"/>
    </font>
    <font>
      <sz val="11"/>
      <color theme="2" tint="-0.89999084444715716"/>
      <name val="Arial Nova"/>
      <family val="2"/>
    </font>
    <font>
      <b/>
      <sz val="10"/>
      <color theme="2" tint="-0.89999084444715716"/>
      <name val="Arial Nova"/>
      <family val="2"/>
    </font>
  </fonts>
  <fills count="36">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2F2F2"/>
      </patternFill>
    </fill>
    <fill>
      <patternFill patternType="solid">
        <fgColor rgb="FFFFCC99"/>
      </patternFill>
    </fill>
    <fill>
      <patternFill patternType="solid">
        <fgColor rgb="FFFFC7CE"/>
      </patternFill>
    </fill>
    <fill>
      <patternFill patternType="solid">
        <fgColor rgb="FFFFEB9C"/>
      </patternFill>
    </fill>
    <fill>
      <patternFill patternType="solid">
        <fgColor rgb="FFFFFFCC"/>
      </patternFill>
    </fill>
    <fill>
      <patternFill patternType="solid">
        <fgColor rgb="FFC6EFCE"/>
      </patternFill>
    </fill>
    <fill>
      <patternFill patternType="solid">
        <fgColor rgb="FFA5A5A5"/>
      </patternFill>
    </fill>
    <fill>
      <patternFill patternType="solid">
        <fgColor rgb="FF1F4E78"/>
      </patternFill>
    </fill>
    <fill>
      <patternFill patternType="solid">
        <fgColor rgb="FFD9EAF7"/>
      </patternFill>
    </fill>
    <fill>
      <patternFill patternType="solid">
        <fgColor rgb="FFF3F6F9"/>
      </patternFill>
    </fill>
  </fills>
  <borders count="23">
    <border>
      <left/>
      <right/>
      <top/>
      <bottom/>
      <diagonal/>
    </border>
    <border>
      <left style="thin">
        <color rgb="FF7F7F7F"/>
      </left>
      <right style="thin">
        <color rgb="FF7F7F7F"/>
      </right>
      <top style="thin">
        <color rgb="FF7F7F7F"/>
      </top>
      <bottom style="thin">
        <color rgb="FF7F7F7F"/>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style="double">
        <color rgb="FF3F3F3F"/>
      </left>
      <right style="double">
        <color rgb="FF3F3F3F"/>
      </right>
      <top style="double">
        <color rgb="FF3F3F3F"/>
      </top>
      <bottom style="double">
        <color rgb="FF3F3F3F"/>
      </bottom>
      <diagonal/>
    </border>
    <border>
      <left style="medium">
        <color auto="1"/>
      </left>
      <right/>
      <top style="medium">
        <color auto="1"/>
      </top>
      <bottom style="thin">
        <color auto="1"/>
      </bottom>
      <diagonal/>
    </border>
    <border>
      <left/>
      <right style="medium">
        <color auto="1"/>
      </right>
      <top style="medium">
        <color auto="1"/>
      </top>
      <bottom style="thin">
        <color auto="1"/>
      </bottom>
      <diagonal/>
    </border>
    <border>
      <left style="medium">
        <color auto="1"/>
      </left>
      <right/>
      <top/>
      <bottom/>
      <diagonal/>
    </border>
    <border>
      <left style="medium">
        <color auto="1"/>
      </left>
      <right/>
      <top/>
      <bottom style="medium">
        <color auto="1"/>
      </bottom>
      <diagonal/>
    </border>
    <border>
      <left/>
      <right style="medium">
        <color indexed="64"/>
      </right>
      <top/>
      <bottom/>
      <diagonal/>
    </border>
    <border>
      <left/>
      <right style="medium">
        <color indexed="64"/>
      </right>
      <top/>
      <bottom style="medium">
        <color indexed="64"/>
      </bottom>
      <diagonal/>
    </border>
    <border>
      <left/>
      <right/>
      <top/>
      <bottom style="thin">
        <color rgb="FFB7B7B7"/>
      </bottom>
      <diagonal/>
    </border>
    <border>
      <left style="thin">
        <color rgb="FFB7B7B7"/>
      </left>
      <right style="thin">
        <color rgb="FFB7B7B7"/>
      </right>
      <top style="thin">
        <color rgb="FFB7B7B7"/>
      </top>
      <bottom style="thin">
        <color rgb="FFB7B7B7"/>
      </bottom>
      <diagonal/>
    </border>
    <border>
      <left style="thin">
        <color auto="1"/>
      </left>
      <right style="thin">
        <color auto="1"/>
      </right>
      <top style="medium">
        <color indexed="64"/>
      </top>
      <bottom style="thin">
        <color indexed="64"/>
      </bottom>
      <diagonal/>
    </border>
    <border>
      <left/>
      <right/>
      <top/>
      <bottom style="medium">
        <color indexed="64"/>
      </bottom>
      <diagonal/>
    </border>
    <border>
      <left/>
      <right style="medium">
        <color indexed="64"/>
      </right>
      <top style="thin">
        <color auto="1"/>
      </top>
      <bottom/>
      <diagonal/>
    </border>
    <border>
      <left style="medium">
        <color indexed="64"/>
      </left>
      <right/>
      <top style="medium">
        <color indexed="64"/>
      </top>
      <bottom/>
      <diagonal/>
    </border>
    <border>
      <left/>
      <right style="medium">
        <color indexed="64"/>
      </right>
      <top style="medium">
        <color indexed="64"/>
      </top>
      <bottom/>
      <diagonal/>
    </border>
  </borders>
  <cellStyleXfs count="44">
    <xf numFmtId="0" fontId="0" fillId="0" borderId="0"/>
    <xf numFmtId="0" fontId="3" fillId="2"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3"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4" fillId="21" borderId="0" applyNumberFormat="0" applyBorder="0" applyAlignment="0" applyProtection="0"/>
    <xf numFmtId="0" fontId="4" fillId="22"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5" borderId="0" applyNumberFormat="0" applyBorder="0" applyAlignment="0" applyProtection="0"/>
    <xf numFmtId="0" fontId="5" fillId="0" borderId="0" applyNumberFormat="0" applyFill="0" applyBorder="0" applyAlignment="0" applyProtection="0"/>
    <xf numFmtId="0" fontId="6" fillId="26" borderId="1" applyNumberFormat="0" applyAlignment="0" applyProtection="0"/>
    <xf numFmtId="0" fontId="7" fillId="0" borderId="2" applyNumberFormat="0" applyFill="0" applyAlignment="0" applyProtection="0"/>
    <xf numFmtId="0" fontId="8" fillId="27" borderId="1" applyNumberFormat="0" applyAlignment="0" applyProtection="0"/>
    <xf numFmtId="0" fontId="9" fillId="28" borderId="0" applyNumberFormat="0" applyBorder="0" applyAlignment="0" applyProtection="0"/>
    <xf numFmtId="0" fontId="10" fillId="29" borderId="0" applyNumberFormat="0" applyBorder="0" applyAlignment="0" applyProtection="0"/>
    <xf numFmtId="0" fontId="3" fillId="0" borderId="0"/>
    <xf numFmtId="0" fontId="3" fillId="30" borderId="3" applyNumberFormat="0" applyFont="0" applyAlignment="0" applyProtection="0"/>
    <xf numFmtId="0" fontId="11" fillId="31" borderId="0" applyNumberFormat="0" applyBorder="0" applyAlignment="0" applyProtection="0"/>
    <xf numFmtId="0" fontId="12" fillId="26" borderId="4" applyNumberFormat="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5" fillId="0" borderId="5" applyNumberFormat="0" applyFill="0" applyAlignment="0" applyProtection="0"/>
    <xf numFmtId="0" fontId="16" fillId="0" borderId="6" applyNumberFormat="0" applyFill="0" applyAlignment="0" applyProtection="0"/>
    <xf numFmtId="0" fontId="17" fillId="0" borderId="7" applyNumberFormat="0" applyFill="0" applyAlignment="0" applyProtection="0"/>
    <xf numFmtId="0" fontId="17" fillId="0" borderId="0" applyNumberFormat="0" applyFill="0" applyBorder="0" applyAlignment="0" applyProtection="0"/>
    <xf numFmtId="0" fontId="18" fillId="0" borderId="8" applyNumberFormat="0" applyFill="0" applyAlignment="0" applyProtection="0"/>
    <xf numFmtId="0" fontId="19" fillId="32" borderId="9" applyNumberFormat="0" applyAlignment="0" applyProtection="0"/>
    <xf numFmtId="9" fontId="34" fillId="0" borderId="0" applyFont="0" applyFill="0" applyBorder="0" applyAlignment="0" applyProtection="0"/>
  </cellStyleXfs>
  <cellXfs count="76">
    <xf numFmtId="0" fontId="0" fillId="0" borderId="0" xfId="0"/>
    <xf numFmtId="3" fontId="2" fillId="0" borderId="0" xfId="0" applyNumberFormat="1" applyFont="1"/>
    <xf numFmtId="0" fontId="2" fillId="0" borderId="0" xfId="0" applyFont="1"/>
    <xf numFmtId="3" fontId="2" fillId="0" borderId="0" xfId="0" applyNumberFormat="1" applyFont="1" applyAlignment="1">
      <alignment vertical="center"/>
    </xf>
    <xf numFmtId="0" fontId="3" fillId="0" borderId="0" xfId="31"/>
    <xf numFmtId="0" fontId="20" fillId="0" borderId="0" xfId="0" applyFont="1"/>
    <xf numFmtId="0" fontId="21" fillId="0" borderId="0" xfId="0" applyFont="1"/>
    <xf numFmtId="0" fontId="22" fillId="0" borderId="0" xfId="0" applyFont="1"/>
    <xf numFmtId="0" fontId="23" fillId="0" borderId="0" xfId="0" applyFont="1"/>
    <xf numFmtId="0" fontId="24" fillId="0" borderId="0" xfId="0" applyFont="1"/>
    <xf numFmtId="0" fontId="26" fillId="0" borderId="10" xfId="0" applyFont="1" applyBorder="1"/>
    <xf numFmtId="0" fontId="26" fillId="0" borderId="11" xfId="0" applyFont="1" applyBorder="1" applyAlignment="1">
      <alignment horizontal="center"/>
    </xf>
    <xf numFmtId="0" fontId="26" fillId="0" borderId="12" xfId="0" applyFont="1" applyBorder="1"/>
    <xf numFmtId="0" fontId="26" fillId="0" borderId="13" xfId="0" applyFont="1" applyBorder="1"/>
    <xf numFmtId="0" fontId="1" fillId="0" borderId="0" xfId="31" applyFont="1"/>
    <xf numFmtId="0" fontId="24" fillId="0" borderId="0" xfId="0" applyFont="1" applyAlignment="1">
      <alignment vertical="center"/>
    </xf>
    <xf numFmtId="0" fontId="27" fillId="0" borderId="0" xfId="0" applyFont="1" applyAlignment="1">
      <alignment vertical="center"/>
    </xf>
    <xf numFmtId="0" fontId="29" fillId="33" borderId="16" xfId="0" applyFont="1" applyFill="1" applyBorder="1" applyAlignment="1">
      <alignment vertical="center"/>
    </xf>
    <xf numFmtId="0" fontId="28" fillId="34" borderId="17" xfId="0" applyFont="1" applyFill="1" applyBorder="1" applyAlignment="1">
      <alignment vertical="top" wrapText="1"/>
    </xf>
    <xf numFmtId="0" fontId="2" fillId="35" borderId="17" xfId="0" applyFont="1" applyFill="1" applyBorder="1" applyAlignment="1">
      <alignment horizontal="left" vertical="top" wrapText="1"/>
    </xf>
    <xf numFmtId="0" fontId="2" fillId="35" borderId="17" xfId="0" applyFont="1" applyFill="1" applyBorder="1" applyAlignment="1">
      <alignment vertical="top" wrapText="1"/>
    </xf>
    <xf numFmtId="0" fontId="2" fillId="0" borderId="17" xfId="0" applyFont="1" applyBorder="1" applyAlignment="1">
      <alignment vertical="top" wrapText="1"/>
    </xf>
    <xf numFmtId="0" fontId="18" fillId="0" borderId="0" xfId="0" applyFont="1"/>
    <xf numFmtId="0" fontId="18" fillId="0" borderId="11" xfId="0" applyFont="1" applyBorder="1" applyAlignment="1">
      <alignment horizontal="center"/>
    </xf>
    <xf numFmtId="0" fontId="31" fillId="0" borderId="0" xfId="0" applyFont="1"/>
    <xf numFmtId="0" fontId="28" fillId="0" borderId="0" xfId="0" applyFont="1"/>
    <xf numFmtId="0" fontId="32" fillId="0" borderId="0" xfId="0" applyFont="1"/>
    <xf numFmtId="0" fontId="26" fillId="0" borderId="0" xfId="0" applyFont="1" applyAlignment="1">
      <alignment horizontal="center"/>
    </xf>
    <xf numFmtId="0" fontId="33" fillId="0" borderId="0" xfId="0" applyFont="1" applyAlignment="1">
      <alignment vertical="center"/>
    </xf>
    <xf numFmtId="49" fontId="30" fillId="0" borderId="0" xfId="0" applyNumberFormat="1" applyFont="1"/>
    <xf numFmtId="0" fontId="25" fillId="0" borderId="10" xfId="0" applyFont="1" applyBorder="1"/>
    <xf numFmtId="0" fontId="26" fillId="0" borderId="18" xfId="0" applyFont="1" applyBorder="1" applyAlignment="1">
      <alignment horizontal="center" vertical="center"/>
    </xf>
    <xf numFmtId="0" fontId="26" fillId="0" borderId="11" xfId="0" applyFont="1" applyBorder="1" applyAlignment="1">
      <alignment horizontal="center" vertical="center"/>
    </xf>
    <xf numFmtId="0" fontId="35" fillId="0" borderId="0" xfId="0" applyFont="1" applyAlignment="1">
      <alignment horizontal="center" vertical="center"/>
    </xf>
    <xf numFmtId="0" fontId="35" fillId="0" borderId="14" xfId="0" applyFont="1" applyBorder="1" applyAlignment="1">
      <alignment horizontal="center" vertical="center"/>
    </xf>
    <xf numFmtId="0" fontId="35" fillId="0" borderId="19" xfId="0" applyFont="1" applyBorder="1" applyAlignment="1">
      <alignment horizontal="center" vertical="center"/>
    </xf>
    <xf numFmtId="0" fontId="35" fillId="0" borderId="15" xfId="0" applyFont="1" applyBorder="1" applyAlignment="1">
      <alignment horizontal="center" vertical="center"/>
    </xf>
    <xf numFmtId="0" fontId="36" fillId="0" borderId="0" xfId="0" applyFont="1"/>
    <xf numFmtId="0" fontId="37" fillId="0" borderId="0" xfId="0" applyFont="1"/>
    <xf numFmtId="0" fontId="38" fillId="0" borderId="0" xfId="0" applyFont="1"/>
    <xf numFmtId="0" fontId="38" fillId="0" borderId="0" xfId="0" applyFont="1" applyAlignment="1">
      <alignment horizontal="center" vertical="center"/>
    </xf>
    <xf numFmtId="10" fontId="38" fillId="0" borderId="0" xfId="43" applyNumberFormat="1" applyFont="1" applyAlignment="1">
      <alignment horizontal="center" vertical="center"/>
    </xf>
    <xf numFmtId="0" fontId="36" fillId="0" borderId="0" xfId="31" applyFont="1" applyAlignment="1">
      <alignment horizontal="center" vertical="center"/>
    </xf>
    <xf numFmtId="0" fontId="36" fillId="0" borderId="0" xfId="0" applyFont="1" applyAlignment="1">
      <alignment horizontal="center" vertical="center"/>
    </xf>
    <xf numFmtId="0" fontId="28" fillId="0" borderId="0" xfId="0" applyFont="1" applyAlignment="1">
      <alignment horizontal="center" vertical="center"/>
    </xf>
    <xf numFmtId="2" fontId="35" fillId="0" borderId="0" xfId="0" applyNumberFormat="1" applyFont="1" applyAlignment="1">
      <alignment horizontal="center" vertical="center"/>
    </xf>
    <xf numFmtId="0" fontId="36" fillId="0" borderId="21" xfId="0" applyFont="1" applyBorder="1" applyAlignment="1">
      <alignment horizontal="center" vertical="center"/>
    </xf>
    <xf numFmtId="0" fontId="36" fillId="0" borderId="22" xfId="0" applyFont="1" applyBorder="1" applyAlignment="1">
      <alignment horizontal="center" vertical="center"/>
    </xf>
    <xf numFmtId="0" fontId="40" fillId="0" borderId="21" xfId="0" applyFont="1" applyBorder="1" applyAlignment="1">
      <alignment horizontal="center" vertical="center"/>
    </xf>
    <xf numFmtId="0" fontId="40" fillId="0" borderId="22" xfId="0" applyFont="1" applyBorder="1" applyAlignment="1">
      <alignment horizontal="center" vertical="center"/>
    </xf>
    <xf numFmtId="0" fontId="41" fillId="0" borderId="12" xfId="0" applyFont="1" applyBorder="1" applyAlignment="1">
      <alignment horizontal="center" vertical="center"/>
    </xf>
    <xf numFmtId="0" fontId="41" fillId="0" borderId="14" xfId="0" applyFont="1" applyBorder="1" applyAlignment="1">
      <alignment horizontal="center" vertical="center"/>
    </xf>
    <xf numFmtId="0" fontId="41" fillId="0" borderId="13" xfId="0" applyFont="1" applyBorder="1" applyAlignment="1">
      <alignment horizontal="center" vertical="center"/>
    </xf>
    <xf numFmtId="0" fontId="41" fillId="0" borderId="15" xfId="0" applyFont="1" applyBorder="1" applyAlignment="1">
      <alignment horizontal="center" vertical="center"/>
    </xf>
    <xf numFmtId="0" fontId="41" fillId="0" borderId="0" xfId="0" applyFont="1" applyAlignment="1">
      <alignment horizontal="center" vertical="center"/>
    </xf>
    <xf numFmtId="0" fontId="37" fillId="0" borderId="12" xfId="0" applyFont="1" applyBorder="1" applyAlignment="1">
      <alignment horizontal="center" vertical="center"/>
    </xf>
    <xf numFmtId="0" fontId="37" fillId="0" borderId="14" xfId="0" applyFont="1" applyBorder="1" applyAlignment="1">
      <alignment horizontal="center" vertical="center"/>
    </xf>
    <xf numFmtId="0" fontId="37" fillId="0" borderId="13" xfId="0" applyFont="1" applyBorder="1" applyAlignment="1">
      <alignment horizontal="center" vertical="center"/>
    </xf>
    <xf numFmtId="0" fontId="37" fillId="0" borderId="15" xfId="0" applyFont="1" applyBorder="1" applyAlignment="1">
      <alignment horizontal="center" vertical="center"/>
    </xf>
    <xf numFmtId="10" fontId="37" fillId="0" borderId="14" xfId="43" applyNumberFormat="1" applyFont="1" applyBorder="1" applyAlignment="1">
      <alignment horizontal="center" vertical="center"/>
    </xf>
    <xf numFmtId="10" fontId="37" fillId="0" borderId="15" xfId="43" applyNumberFormat="1" applyFont="1" applyBorder="1" applyAlignment="1">
      <alignment horizontal="center" vertical="center"/>
    </xf>
    <xf numFmtId="10" fontId="41" fillId="0" borderId="14" xfId="43" applyNumberFormat="1" applyFont="1" applyBorder="1" applyAlignment="1">
      <alignment horizontal="center" vertical="center"/>
    </xf>
    <xf numFmtId="10" fontId="41" fillId="0" borderId="15" xfId="43" applyNumberFormat="1" applyFont="1" applyBorder="1" applyAlignment="1">
      <alignment horizontal="center" vertical="center"/>
    </xf>
    <xf numFmtId="2" fontId="42" fillId="0" borderId="0" xfId="0" applyNumberFormat="1" applyFont="1" applyAlignment="1">
      <alignment horizontal="center" vertical="center"/>
    </xf>
    <xf numFmtId="2" fontId="43" fillId="0" borderId="0" xfId="0" applyNumberFormat="1" applyFont="1" applyAlignment="1">
      <alignment horizontal="center" vertical="center"/>
    </xf>
    <xf numFmtId="0" fontId="45" fillId="0" borderId="0" xfId="0" applyFont="1" applyAlignment="1">
      <alignment horizontal="left" vertical="center" wrapText="1"/>
    </xf>
    <xf numFmtId="0" fontId="28" fillId="0" borderId="0" xfId="0" applyFont="1" applyAlignment="1">
      <alignment horizontal="left" vertical="center"/>
    </xf>
    <xf numFmtId="0" fontId="35" fillId="0" borderId="0" xfId="0" applyFont="1" applyAlignment="1">
      <alignment horizontal="left" vertical="center" wrapText="1"/>
    </xf>
    <xf numFmtId="0" fontId="35" fillId="0" borderId="0" xfId="0" applyFont="1" applyAlignment="1">
      <alignment horizontal="left" vertical="center"/>
    </xf>
    <xf numFmtId="0" fontId="35" fillId="0" borderId="0" xfId="0" applyFont="1" applyAlignment="1">
      <alignment horizontal="center" vertical="center"/>
    </xf>
    <xf numFmtId="0" fontId="39" fillId="0" borderId="20" xfId="0" applyFont="1" applyBorder="1" applyAlignment="1">
      <alignment horizontal="center" vertical="center"/>
    </xf>
    <xf numFmtId="0" fontId="39" fillId="0" borderId="14" xfId="0" applyFont="1" applyBorder="1" applyAlignment="1">
      <alignment horizontal="center" vertical="center"/>
    </xf>
    <xf numFmtId="0" fontId="39" fillId="0" borderId="15" xfId="0" applyFont="1" applyBorder="1" applyAlignment="1">
      <alignment horizontal="center" vertical="center"/>
    </xf>
    <xf numFmtId="0" fontId="36" fillId="0" borderId="0" xfId="0" applyFont="1" applyAlignment="1">
      <alignment horizontal="left" vertical="center"/>
    </xf>
    <xf numFmtId="0" fontId="29" fillId="33" borderId="0" xfId="0" applyFont="1" applyFill="1" applyAlignment="1">
      <alignment horizontal="center" vertical="center"/>
    </xf>
    <xf numFmtId="0" fontId="2" fillId="0" borderId="0" xfId="0" applyFont="1" applyAlignment="1">
      <alignment horizontal="center"/>
    </xf>
  </cellXfs>
  <cellStyles count="44">
    <cellStyle name="20 % - Accent1" xfId="1" builtinId="30" customBuiltin="1"/>
    <cellStyle name="20 % - Accent2" xfId="2" builtinId="34" customBuiltin="1"/>
    <cellStyle name="20 % - Accent3" xfId="3" builtinId="38" customBuiltin="1"/>
    <cellStyle name="20 % - Accent4" xfId="4" builtinId="42" customBuiltin="1"/>
    <cellStyle name="20 % - Accent5" xfId="5" builtinId="46" customBuiltin="1"/>
    <cellStyle name="20 % - Accent6" xfId="6" builtinId="50" customBuiltin="1"/>
    <cellStyle name="40 % - Accent1" xfId="7" builtinId="31" customBuiltin="1"/>
    <cellStyle name="40 % - Accent2" xfId="8" builtinId="35" customBuiltin="1"/>
    <cellStyle name="40 % - Accent3" xfId="9" builtinId="39" customBuiltin="1"/>
    <cellStyle name="40 % - Accent4" xfId="10" builtinId="43" customBuiltin="1"/>
    <cellStyle name="40 % - Accent5" xfId="11" builtinId="47" customBuiltin="1"/>
    <cellStyle name="40 % - Accent6" xfId="12" builtinId="51" customBuiltin="1"/>
    <cellStyle name="60 % - Accent1" xfId="13" builtinId="32" customBuiltin="1"/>
    <cellStyle name="60 % - Accent2" xfId="14" builtinId="36" customBuiltin="1"/>
    <cellStyle name="60 % - Accent3" xfId="15" builtinId="40" customBuiltin="1"/>
    <cellStyle name="60 % - Accent4" xfId="16" builtinId="44" customBuiltin="1"/>
    <cellStyle name="60 % - Accent5" xfId="17" builtinId="48" customBuiltin="1"/>
    <cellStyle name="60 %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Avertissement" xfId="25" builtinId="11" customBuiltin="1"/>
    <cellStyle name="Calcul" xfId="26" builtinId="22" customBuiltin="1"/>
    <cellStyle name="Cellule liée" xfId="27" builtinId="24" customBuiltin="1"/>
    <cellStyle name="Entrée" xfId="28" builtinId="20" customBuiltin="1"/>
    <cellStyle name="Insatisfaisant" xfId="29" builtinId="27" customBuiltin="1"/>
    <cellStyle name="Neutre" xfId="30" builtinId="28" customBuiltin="1"/>
    <cellStyle name="Normal" xfId="0" builtinId="0"/>
    <cellStyle name="Normal 2" xfId="31" xr:uid="{00000000-0005-0000-0000-00001F000000}"/>
    <cellStyle name="Note 2" xfId="32" xr:uid="{00000000-0005-0000-0000-000020000000}"/>
    <cellStyle name="Pourcentage" xfId="43" builtinId="5"/>
    <cellStyle name="Satisfaisant" xfId="33" builtinId="26" customBuiltin="1"/>
    <cellStyle name="Sortie" xfId="34" builtinId="21" customBuiltin="1"/>
    <cellStyle name="Texte explicatif" xfId="35" builtinId="53" customBuiltin="1"/>
    <cellStyle name="Titre" xfId="36" builtinId="15" customBuiltin="1"/>
    <cellStyle name="Titre 1" xfId="37" builtinId="16" customBuiltin="1"/>
    <cellStyle name="Titre 2" xfId="38" builtinId="17" customBuiltin="1"/>
    <cellStyle name="Titre 3" xfId="39" builtinId="18" customBuiltin="1"/>
    <cellStyle name="Titre 4" xfId="40" builtinId="19" customBuiltin="1"/>
    <cellStyle name="Total" xfId="41" builtinId="25" customBuiltin="1"/>
    <cellStyle name="Vérification" xfId="42"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D</a:t>
            </a:r>
            <a:r>
              <a:rPr lang="fr-FR" sz="1400" b="1" i="0" u="none" strike="noStrike" baseline="0">
                <a:effectLst/>
              </a:rPr>
              <a:t>iagramme en bâtons de la part des agriculteurs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Correction!$L$1</c:f>
              <c:strCache>
                <c:ptCount val="1"/>
                <c:pt idx="0">
                  <c:v>Part_Agriculteur</c:v>
                </c:pt>
              </c:strCache>
            </c:strRef>
          </c:tx>
          <c:spPr>
            <a:solidFill>
              <a:schemeClr val="accent1"/>
            </a:solidFill>
            <a:ln>
              <a:noFill/>
            </a:ln>
            <a:effectLst/>
          </c:spPr>
          <c:invertIfNegative val="0"/>
          <c:cat>
            <c:strRef>
              <c:f>Correction!$B$2:$B$97</c:f>
              <c:strCache>
                <c:ptCount val="96"/>
                <c:pt idx="0">
                  <c:v>Ain</c:v>
                </c:pt>
                <c:pt idx="1">
                  <c:v>Aisne</c:v>
                </c:pt>
                <c:pt idx="2">
                  <c:v>Allier</c:v>
                </c:pt>
                <c:pt idx="3">
                  <c:v>Alpes-de-Haute-Provence</c:v>
                </c:pt>
                <c:pt idx="4">
                  <c:v>Hautes-Alpes</c:v>
                </c:pt>
                <c:pt idx="5">
                  <c:v>Alpes-Maritimes</c:v>
                </c:pt>
                <c:pt idx="6">
                  <c:v>Ardèche</c:v>
                </c:pt>
                <c:pt idx="7">
                  <c:v>Ardennes</c:v>
                </c:pt>
                <c:pt idx="8">
                  <c:v>Ariège</c:v>
                </c:pt>
                <c:pt idx="9">
                  <c:v>Aube</c:v>
                </c:pt>
                <c:pt idx="10">
                  <c:v>Aude</c:v>
                </c:pt>
                <c:pt idx="11">
                  <c:v>Aveyron</c:v>
                </c:pt>
                <c:pt idx="12">
                  <c:v>Bouches-du-Rhône</c:v>
                </c:pt>
                <c:pt idx="13">
                  <c:v>Calvados</c:v>
                </c:pt>
                <c:pt idx="14">
                  <c:v>Cantal</c:v>
                </c:pt>
                <c:pt idx="15">
                  <c:v>Charente</c:v>
                </c:pt>
                <c:pt idx="16">
                  <c:v>Charente-Maritime</c:v>
                </c:pt>
                <c:pt idx="17">
                  <c:v>Cher</c:v>
                </c:pt>
                <c:pt idx="18">
                  <c:v>Corrèze</c:v>
                </c:pt>
                <c:pt idx="19">
                  <c:v>Corse-du-Sud</c:v>
                </c:pt>
                <c:pt idx="20">
                  <c:v>Haute-Corse</c:v>
                </c:pt>
                <c:pt idx="21">
                  <c:v>Côte-d'Or</c:v>
                </c:pt>
                <c:pt idx="22">
                  <c:v>Côtes-d'Armor</c:v>
                </c:pt>
                <c:pt idx="23">
                  <c:v>Creuse</c:v>
                </c:pt>
                <c:pt idx="24">
                  <c:v>Dordogne</c:v>
                </c:pt>
                <c:pt idx="25">
                  <c:v>Doubs</c:v>
                </c:pt>
                <c:pt idx="26">
                  <c:v>Drôme</c:v>
                </c:pt>
                <c:pt idx="27">
                  <c:v>Eure</c:v>
                </c:pt>
                <c:pt idx="28">
                  <c:v>Eure-et-Loir</c:v>
                </c:pt>
                <c:pt idx="29">
                  <c:v>Finistère</c:v>
                </c:pt>
                <c:pt idx="30">
                  <c:v>Gard</c:v>
                </c:pt>
                <c:pt idx="31">
                  <c:v>Haute-Garonne</c:v>
                </c:pt>
                <c:pt idx="32">
                  <c:v>Gers</c:v>
                </c:pt>
                <c:pt idx="33">
                  <c:v>Gironde</c:v>
                </c:pt>
                <c:pt idx="34">
                  <c:v>Hérault</c:v>
                </c:pt>
                <c:pt idx="35">
                  <c:v>Ille-et-Vilaine</c:v>
                </c:pt>
                <c:pt idx="36">
                  <c:v>Indre</c:v>
                </c:pt>
                <c:pt idx="37">
                  <c:v>Indre-et-Loire</c:v>
                </c:pt>
                <c:pt idx="38">
                  <c:v>Isère</c:v>
                </c:pt>
                <c:pt idx="39">
                  <c:v>Jura</c:v>
                </c:pt>
                <c:pt idx="40">
                  <c:v>Landes</c:v>
                </c:pt>
                <c:pt idx="41">
                  <c:v>Loir-et-Cher</c:v>
                </c:pt>
                <c:pt idx="42">
                  <c:v>Loire</c:v>
                </c:pt>
                <c:pt idx="43">
                  <c:v>Haute-Loire</c:v>
                </c:pt>
                <c:pt idx="44">
                  <c:v>Loire-Atlantique</c:v>
                </c:pt>
                <c:pt idx="45">
                  <c:v>Loiret</c:v>
                </c:pt>
                <c:pt idx="46">
                  <c:v>Lot</c:v>
                </c:pt>
                <c:pt idx="47">
                  <c:v>Lot-et-Garonne</c:v>
                </c:pt>
                <c:pt idx="48">
                  <c:v>Lozère</c:v>
                </c:pt>
                <c:pt idx="49">
                  <c:v>Maine-et-Loire</c:v>
                </c:pt>
                <c:pt idx="50">
                  <c:v>Manche</c:v>
                </c:pt>
                <c:pt idx="51">
                  <c:v>Marne</c:v>
                </c:pt>
                <c:pt idx="52">
                  <c:v>Haute-Marne</c:v>
                </c:pt>
                <c:pt idx="53">
                  <c:v>Mayenne</c:v>
                </c:pt>
                <c:pt idx="54">
                  <c:v>Meurthe-et-Moselle</c:v>
                </c:pt>
                <c:pt idx="55">
                  <c:v>Meuse</c:v>
                </c:pt>
                <c:pt idx="56">
                  <c:v>Morbihan</c:v>
                </c:pt>
                <c:pt idx="57">
                  <c:v>Moselle</c:v>
                </c:pt>
                <c:pt idx="58">
                  <c:v>Nièvre</c:v>
                </c:pt>
                <c:pt idx="59">
                  <c:v>Nord</c:v>
                </c:pt>
                <c:pt idx="60">
                  <c:v>Oise</c:v>
                </c:pt>
                <c:pt idx="61">
                  <c:v>Orne</c:v>
                </c:pt>
                <c:pt idx="62">
                  <c:v>Pas-de-Calais</c:v>
                </c:pt>
                <c:pt idx="63">
                  <c:v>Puy-de-Dôme</c:v>
                </c:pt>
                <c:pt idx="64">
                  <c:v>Pyrénées-Atlantiques</c:v>
                </c:pt>
                <c:pt idx="65">
                  <c:v>Hautes-Pyrénées</c:v>
                </c:pt>
                <c:pt idx="66">
                  <c:v>Pyrénées-Orientales</c:v>
                </c:pt>
                <c:pt idx="67">
                  <c:v>Bas-Rhin</c:v>
                </c:pt>
                <c:pt idx="68">
                  <c:v>Haut-Rhin</c:v>
                </c:pt>
                <c:pt idx="69">
                  <c:v>Rhône</c:v>
                </c:pt>
                <c:pt idx="70">
                  <c:v>Haute-Saône</c:v>
                </c:pt>
                <c:pt idx="71">
                  <c:v>Saône-et-Loire</c:v>
                </c:pt>
                <c:pt idx="72">
                  <c:v>Sarthe</c:v>
                </c:pt>
                <c:pt idx="73">
                  <c:v>Savoie</c:v>
                </c:pt>
                <c:pt idx="74">
                  <c:v>Haute-Savoie</c:v>
                </c:pt>
                <c:pt idx="75">
                  <c:v>Paris</c:v>
                </c:pt>
                <c:pt idx="76">
                  <c:v>Seine-Maritime</c:v>
                </c:pt>
                <c:pt idx="77">
                  <c:v>Seine-et-Marne</c:v>
                </c:pt>
                <c:pt idx="78">
                  <c:v>Yvelines</c:v>
                </c:pt>
                <c:pt idx="79">
                  <c:v>Deux-Sèvres</c:v>
                </c:pt>
                <c:pt idx="80">
                  <c:v>Somme</c:v>
                </c:pt>
                <c:pt idx="81">
                  <c:v>Tarn</c:v>
                </c:pt>
                <c:pt idx="82">
                  <c:v>Tarn-et-Garonne</c:v>
                </c:pt>
                <c:pt idx="83">
                  <c:v>Var</c:v>
                </c:pt>
                <c:pt idx="84">
                  <c:v>Vaucluse</c:v>
                </c:pt>
                <c:pt idx="85">
                  <c:v>Vendée</c:v>
                </c:pt>
                <c:pt idx="86">
                  <c:v>Vienne</c:v>
                </c:pt>
                <c:pt idx="87">
                  <c:v>Haute-Vienne</c:v>
                </c:pt>
                <c:pt idx="88">
                  <c:v>Vosges</c:v>
                </c:pt>
                <c:pt idx="89">
                  <c:v>Yonne</c:v>
                </c:pt>
                <c:pt idx="90">
                  <c:v>Territoire de Belfort</c:v>
                </c:pt>
                <c:pt idx="91">
                  <c:v>Essonne</c:v>
                </c:pt>
                <c:pt idx="92">
                  <c:v>Hauts-de-Seine</c:v>
                </c:pt>
                <c:pt idx="93">
                  <c:v>Seine-Saint-Denis</c:v>
                </c:pt>
                <c:pt idx="94">
                  <c:v>Val-de-Marne</c:v>
                </c:pt>
                <c:pt idx="95">
                  <c:v>Val-d'Oise</c:v>
                </c:pt>
              </c:strCache>
            </c:strRef>
          </c:cat>
          <c:val>
            <c:numRef>
              <c:f>Correction!$L$2:$L$97</c:f>
              <c:numCache>
                <c:formatCode>0.00%</c:formatCode>
                <c:ptCount val="96"/>
                <c:pt idx="0">
                  <c:v>1.1802945657694261E-2</c:v>
                </c:pt>
                <c:pt idx="1">
                  <c:v>1.6843271111571693E-2</c:v>
                </c:pt>
                <c:pt idx="2">
                  <c:v>3.2018423980286759E-2</c:v>
                </c:pt>
                <c:pt idx="3">
                  <c:v>2.2797053365573864E-2</c:v>
                </c:pt>
                <c:pt idx="4">
                  <c:v>2.6457428182348745E-2</c:v>
                </c:pt>
                <c:pt idx="5">
                  <c:v>3.1725552467910547E-3</c:v>
                </c:pt>
                <c:pt idx="6">
                  <c:v>2.344796277380547E-2</c:v>
                </c:pt>
                <c:pt idx="7">
                  <c:v>2.052828898359935E-2</c:v>
                </c:pt>
                <c:pt idx="8">
                  <c:v>2.7702399773472712E-2</c:v>
                </c:pt>
                <c:pt idx="9">
                  <c:v>2.7552301014357593E-2</c:v>
                </c:pt>
                <c:pt idx="10">
                  <c:v>2.8018201082032828E-2</c:v>
                </c:pt>
                <c:pt idx="11">
                  <c:v>7.3113378430894688E-2</c:v>
                </c:pt>
                <c:pt idx="12">
                  <c:v>4.0553535975070554E-3</c:v>
                </c:pt>
                <c:pt idx="13">
                  <c:v>1.5718133365040143E-2</c:v>
                </c:pt>
                <c:pt idx="14">
                  <c:v>8.8113927953138715E-2</c:v>
                </c:pt>
                <c:pt idx="15">
                  <c:v>2.8596553111787881E-2</c:v>
                </c:pt>
                <c:pt idx="16">
                  <c:v>2.6350917091016956E-2</c:v>
                </c:pt>
                <c:pt idx="17">
                  <c:v>2.2701251529866951E-2</c:v>
                </c:pt>
                <c:pt idx="18">
                  <c:v>3.6200490505632003E-2</c:v>
                </c:pt>
                <c:pt idx="19">
                  <c:v>1.7817134677164306E-2</c:v>
                </c:pt>
                <c:pt idx="20">
                  <c:v>3.9069596132056919E-2</c:v>
                </c:pt>
                <c:pt idx="21">
                  <c:v>7.8020918329500782E-2</c:v>
                </c:pt>
                <c:pt idx="22">
                  <c:v>3.3475169899322144E-2</c:v>
                </c:pt>
                <c:pt idx="23">
                  <c:v>1.364337288797411E-2</c:v>
                </c:pt>
                <c:pt idx="24">
                  <c:v>2.2359011164858344E-2</c:v>
                </c:pt>
                <c:pt idx="25">
                  <c:v>1.1981555951271861E-2</c:v>
                </c:pt>
                <c:pt idx="26">
                  <c:v>1.5515253171191949E-2</c:v>
                </c:pt>
                <c:pt idx="27">
                  <c:v>2.214538140380963E-2</c:v>
                </c:pt>
                <c:pt idx="28">
                  <c:v>1.1752045296124638E-2</c:v>
                </c:pt>
                <c:pt idx="29">
                  <c:v>1.7879435475339076E-2</c:v>
                </c:pt>
                <c:pt idx="30">
                  <c:v>1.3964293766989849E-2</c:v>
                </c:pt>
                <c:pt idx="31">
                  <c:v>6.6181541796275709E-3</c:v>
                </c:pt>
                <c:pt idx="32">
                  <c:v>7.0351319026458317E-2</c:v>
                </c:pt>
                <c:pt idx="33">
                  <c:v>1.1396007938001057E-2</c:v>
                </c:pt>
                <c:pt idx="34">
                  <c:v>1.2863125939876041E-2</c:v>
                </c:pt>
                <c:pt idx="35">
                  <c:v>2.1945440538783331E-2</c:v>
                </c:pt>
                <c:pt idx="36">
                  <c:v>3.3350554814432117E-2</c:v>
                </c:pt>
                <c:pt idx="37">
                  <c:v>1.4231001206272617E-2</c:v>
                </c:pt>
                <c:pt idx="38">
                  <c:v>7.3935808820213191E-3</c:v>
                </c:pt>
                <c:pt idx="39">
                  <c:v>1.9690225137291191E-2</c:v>
                </c:pt>
                <c:pt idx="40">
                  <c:v>2.2768772125954909E-2</c:v>
                </c:pt>
                <c:pt idx="41">
                  <c:v>1.9485563734144552E-2</c:v>
                </c:pt>
                <c:pt idx="42">
                  <c:v>1.3627078447516424E-2</c:v>
                </c:pt>
                <c:pt idx="43">
                  <c:v>4.5362323471148318E-2</c:v>
                </c:pt>
                <c:pt idx="44">
                  <c:v>1.2822073162298596E-2</c:v>
                </c:pt>
                <c:pt idx="45">
                  <c:v>1.066494882256102E-2</c:v>
                </c:pt>
                <c:pt idx="46">
                  <c:v>4.712640063729652E-2</c:v>
                </c:pt>
                <c:pt idx="47">
                  <c:v>3.6019887407017601E-2</c:v>
                </c:pt>
                <c:pt idx="48">
                  <c:v>7.7836867186960423E-2</c:v>
                </c:pt>
                <c:pt idx="49">
                  <c:v>2.4330310712057036E-2</c:v>
                </c:pt>
                <c:pt idx="50">
                  <c:v>3.6870091154044604E-2</c:v>
                </c:pt>
                <c:pt idx="51">
                  <c:v>3.1463847790378405E-2</c:v>
                </c:pt>
                <c:pt idx="52">
                  <c:v>2.7125668573988855E-2</c:v>
                </c:pt>
                <c:pt idx="53">
                  <c:v>5.4731771817151491E-2</c:v>
                </c:pt>
                <c:pt idx="54">
                  <c:v>7.0441101747725464E-3</c:v>
                </c:pt>
                <c:pt idx="55">
                  <c:v>3.1360831323591999E-2</c:v>
                </c:pt>
                <c:pt idx="56">
                  <c:v>2.5262832636848649E-2</c:v>
                </c:pt>
                <c:pt idx="57">
                  <c:v>5.1869778960895313E-3</c:v>
                </c:pt>
                <c:pt idx="58">
                  <c:v>3.090146238135973E-2</c:v>
                </c:pt>
                <c:pt idx="59">
                  <c:v>5.3225734570673394E-3</c:v>
                </c:pt>
                <c:pt idx="60">
                  <c:v>7.4301577730881314E-3</c:v>
                </c:pt>
                <c:pt idx="61">
                  <c:v>3.6689398939160615E-2</c:v>
                </c:pt>
                <c:pt idx="62">
                  <c:v>1.0157671134155364E-2</c:v>
                </c:pt>
                <c:pt idx="63">
                  <c:v>2.044506144218344E-2</c:v>
                </c:pt>
                <c:pt idx="64">
                  <c:v>2.5780645936870749E-2</c:v>
                </c:pt>
                <c:pt idx="65">
                  <c:v>2.4893319915436043E-2</c:v>
                </c:pt>
                <c:pt idx="66">
                  <c:v>1.4621663430207682E-2</c:v>
                </c:pt>
                <c:pt idx="67">
                  <c:v>5.9426352832975069E-3</c:v>
                </c:pt>
                <c:pt idx="68">
                  <c:v>7.1899718340277339E-3</c:v>
                </c:pt>
                <c:pt idx="69">
                  <c:v>6.8949623797897258E-3</c:v>
                </c:pt>
                <c:pt idx="70">
                  <c:v>2.2080299925890404E-2</c:v>
                </c:pt>
                <c:pt idx="71">
                  <c:v>2.7324168312319611E-2</c:v>
                </c:pt>
                <c:pt idx="72">
                  <c:v>1.8513384953661411E-2</c:v>
                </c:pt>
                <c:pt idx="73">
                  <c:v>9.5696967930271968E-3</c:v>
                </c:pt>
                <c:pt idx="74">
                  <c:v>7.8773670636792179E-3</c:v>
                </c:pt>
                <c:pt idx="75">
                  <c:v>3.7956038148738035E-4</c:v>
                </c:pt>
                <c:pt idx="76">
                  <c:v>8.4975695363316023E-3</c:v>
                </c:pt>
                <c:pt idx="77">
                  <c:v>3.7332999097050451E-3</c:v>
                </c:pt>
                <c:pt idx="78">
                  <c:v>1.3835324413456341E-3</c:v>
                </c:pt>
                <c:pt idx="79">
                  <c:v>3.4705786533541581E-2</c:v>
                </c:pt>
                <c:pt idx="80">
                  <c:v>1.7148916087987791E-2</c:v>
                </c:pt>
                <c:pt idx="81">
                  <c:v>2.9839501492218107E-2</c:v>
                </c:pt>
                <c:pt idx="82">
                  <c:v>3.6617892478245324E-2</c:v>
                </c:pt>
                <c:pt idx="83">
                  <c:v>7.1938589531916715E-3</c:v>
                </c:pt>
                <c:pt idx="84">
                  <c:v>1.6829726577685628E-2</c:v>
                </c:pt>
                <c:pt idx="85">
                  <c:v>2.9729568891496E-2</c:v>
                </c:pt>
                <c:pt idx="86">
                  <c:v>2.2092857800507227E-2</c:v>
                </c:pt>
                <c:pt idx="87">
                  <c:v>2.233820161048386E-2</c:v>
                </c:pt>
                <c:pt idx="88">
                  <c:v>1.4935285011587326E-2</c:v>
                </c:pt>
                <c:pt idx="89">
                  <c:v>2.323174886146501E-2</c:v>
                </c:pt>
                <c:pt idx="90">
                  <c:v>4.2553701572688911E-3</c:v>
                </c:pt>
                <c:pt idx="91">
                  <c:v>1.3891393535007438E-3</c:v>
                </c:pt>
                <c:pt idx="92">
                  <c:v>4.1130067598731156E-4</c:v>
                </c:pt>
                <c:pt idx="93">
                  <c:v>1.2000045283189748E-4</c:v>
                </c:pt>
                <c:pt idx="94">
                  <c:v>2.4634830554928576E-4</c:v>
                </c:pt>
                <c:pt idx="95">
                  <c:v>9.5118782479584267E-4</c:v>
                </c:pt>
              </c:numCache>
            </c:numRef>
          </c:val>
          <c:extLst>
            <c:ext xmlns:c16="http://schemas.microsoft.com/office/drawing/2014/chart" uri="{C3380CC4-5D6E-409C-BE32-E72D297353CC}">
              <c16:uniqueId val="{00000000-312F-4EE0-A549-6D2B9E3EBA8C}"/>
            </c:ext>
          </c:extLst>
        </c:ser>
        <c:dLbls>
          <c:showLegendKey val="0"/>
          <c:showVal val="0"/>
          <c:showCatName val="0"/>
          <c:showSerName val="0"/>
          <c:showPercent val="0"/>
          <c:showBubbleSize val="0"/>
        </c:dLbls>
        <c:gapWidth val="219"/>
        <c:overlap val="-27"/>
        <c:axId val="1522146224"/>
        <c:axId val="1526212048"/>
      </c:barChart>
      <c:catAx>
        <c:axId val="1522146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526212048"/>
        <c:crosses val="autoZero"/>
        <c:auto val="1"/>
        <c:lblAlgn val="ctr"/>
        <c:lblOffset val="100"/>
        <c:noMultiLvlLbl val="0"/>
      </c:catAx>
      <c:valAx>
        <c:axId val="152621204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522146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tx>
        <cx:rich>
          <a:bodyPr spcFirstLastPara="1" vertOverflow="ellipsis" horzOverflow="overflow" wrap="square" lIns="0" tIns="0" rIns="0" bIns="0" anchor="ctr" anchorCtr="1"/>
          <a:lstStyle/>
          <a:p>
            <a:pPr algn="ctr" rtl="0">
              <a:defRPr/>
            </a:pPr>
            <a:r>
              <a:rPr lang="fr-FR" sz="1400" b="1" i="0" u="none" strike="noStrike" baseline="0">
                <a:solidFill>
                  <a:sysClr val="windowText" lastClr="000000">
                    <a:lumMod val="65000"/>
                    <a:lumOff val="35000"/>
                  </a:sysClr>
                </a:solidFill>
                <a:effectLst/>
                <a:latin typeface="Calibri"/>
                <a:ea typeface="Calibri" panose="020F0502020204030204" pitchFamily="34" charset="0"/>
                <a:cs typeface="Calibri" panose="020F0502020204030204" pitchFamily="34" charset="0"/>
              </a:rPr>
              <a:t>Histogramme de la part des cadres</a:t>
            </a:r>
            <a:endParaRPr lang="fr-FR" sz="1400" b="0" i="0" u="none" strike="noStrike" baseline="0">
              <a:solidFill>
                <a:sysClr val="windowText" lastClr="000000">
                  <a:lumMod val="65000"/>
                  <a:lumOff val="35000"/>
                </a:sysClr>
              </a:solidFill>
              <a:latin typeface="Calibri"/>
            </a:endParaRPr>
          </a:p>
        </cx:rich>
      </cx:tx>
    </cx:title>
    <cx:plotArea>
      <cx:plotAreaRegion>
        <cx:series layoutId="clusteredColumn" uniqueId="{00000000-4DEE-43F1-B192-0473C6090D16}">
          <cx:tx>
            <cx:txData>
              <cx:f>_xlchart.v1.1</cx:f>
              <cx:v>Part_Cadre</cx:v>
            </cx:txData>
          </cx:tx>
          <cx:dataId val="0"/>
          <cx:layoutPr>
            <cx:binning intervalClosed="r"/>
          </cx:layoutPr>
        </cx:series>
      </cx:plotAreaRegion>
      <cx:axis id="0">
        <cx:catScaling gapWidth="0"/>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1.xml"/><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5</xdr:col>
      <xdr:colOff>619126</xdr:colOff>
      <xdr:row>3</xdr:row>
      <xdr:rowOff>169545</xdr:rowOff>
    </xdr:from>
    <xdr:to>
      <xdr:col>10</xdr:col>
      <xdr:colOff>638176</xdr:colOff>
      <xdr:row>21</xdr:row>
      <xdr:rowOff>100965</xdr:rowOff>
    </xdr:to>
    <mc:AlternateContent xmlns:mc="http://schemas.openxmlformats.org/markup-compatibility/2006">
      <mc:Choice xmlns:cx1="http://schemas.microsoft.com/office/drawing/2015/9/8/chartex" Requires="cx1">
        <xdr:graphicFrame macro="">
          <xdr:nvGraphicFramePr>
            <xdr:cNvPr id="2" name="Graphique 1">
              <a:extLst>
                <a:ext uri="{FF2B5EF4-FFF2-40B4-BE49-F238E27FC236}">
                  <a16:creationId xmlns:a16="http://schemas.microsoft.com/office/drawing/2014/main" id="{2E8FB346-148B-4D63-7EFB-10F6D3D602F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793106" y="716280"/>
              <a:ext cx="5349240" cy="3181350"/>
            </a:xfrm>
            <a:prstGeom prst="rect">
              <a:avLst/>
            </a:prstGeom>
            <a:solidFill>
              <a:prstClr val="white"/>
            </a:solidFill>
            <a:ln w="1">
              <a:solidFill>
                <a:prstClr val="green"/>
              </a:solidFill>
            </a:ln>
          </xdr:spPr>
          <xdr:txBody>
            <a:bodyPr vertOverflow="clip" horzOverflow="clip"/>
            <a:lstStyle/>
            <a:p>
              <a:r>
                <a:rPr lang="fr-FR" sz="1100"/>
                <a:t>Ce graphique n’est pas disponible dans votre version d’Excel.
La modification de cette forme ou l’enregistrement de ce classeur dans un autre format de fichier endommagera le graphique de façon irréparable.</a:t>
              </a:r>
            </a:p>
          </xdr:txBody>
        </xdr:sp>
      </mc:Fallback>
    </mc:AlternateContent>
    <xdr:clientData/>
  </xdr:twoCellAnchor>
  <xdr:twoCellAnchor>
    <xdr:from>
      <xdr:col>2</xdr:col>
      <xdr:colOff>198118</xdr:colOff>
      <xdr:row>24</xdr:row>
      <xdr:rowOff>129540</xdr:rowOff>
    </xdr:from>
    <xdr:to>
      <xdr:col>16</xdr:col>
      <xdr:colOff>600074</xdr:colOff>
      <xdr:row>39</xdr:row>
      <xdr:rowOff>171450</xdr:rowOff>
    </xdr:to>
    <xdr:graphicFrame macro="">
      <xdr:nvGraphicFramePr>
        <xdr:cNvPr id="3" name="Graphique 2">
          <a:extLst>
            <a:ext uri="{FF2B5EF4-FFF2-40B4-BE49-F238E27FC236}">
              <a16:creationId xmlns:a16="http://schemas.microsoft.com/office/drawing/2014/main" id="{FB4C685C-DF0F-9B86-37AA-A34AB406A0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9A9674-6D17-4D21-8539-B37652B86826}">
  <dimension ref="A1:V155"/>
  <sheetViews>
    <sheetView tabSelected="1" topLeftCell="A85" zoomScaleNormal="100" workbookViewId="0">
      <selection activeCell="D104" sqref="D104"/>
    </sheetView>
  </sheetViews>
  <sheetFormatPr baseColWidth="10" defaultRowHeight="13.2" x14ac:dyDescent="0.25"/>
  <cols>
    <col min="2" max="2" width="42.77734375" customWidth="1"/>
    <col min="3" max="3" width="19.33203125" customWidth="1"/>
    <col min="4" max="4" width="39.21875" customWidth="1"/>
    <col min="5" max="5" width="20" customWidth="1"/>
  </cols>
  <sheetData>
    <row r="1" spans="1:7" ht="30" x14ac:dyDescent="0.5">
      <c r="A1" s="5" t="s">
        <v>219</v>
      </c>
    </row>
    <row r="2" spans="1:7" ht="18" customHeight="1" x14ac:dyDescent="0.3">
      <c r="A2" s="6" t="s">
        <v>202</v>
      </c>
    </row>
    <row r="3" spans="1:7" ht="18" customHeight="1" x14ac:dyDescent="0.25"/>
    <row r="4" spans="1:7" ht="18" customHeight="1" x14ac:dyDescent="0.25"/>
    <row r="5" spans="1:7" ht="18" customHeight="1" x14ac:dyDescent="0.4">
      <c r="A5" s="7" t="s">
        <v>220</v>
      </c>
    </row>
    <row r="6" spans="1:7" ht="18" customHeight="1" x14ac:dyDescent="0.25"/>
    <row r="7" spans="1:7" ht="18" customHeight="1" x14ac:dyDescent="0.25">
      <c r="A7" s="25" t="s">
        <v>221</v>
      </c>
      <c r="B7" s="2"/>
      <c r="C7" s="9"/>
    </row>
    <row r="8" spans="1:7" ht="18" customHeight="1" x14ac:dyDescent="0.25">
      <c r="A8" s="25" t="s">
        <v>222</v>
      </c>
      <c r="B8" s="2"/>
      <c r="C8" s="9"/>
      <c r="D8" s="37" t="s">
        <v>281</v>
      </c>
      <c r="E8" s="38"/>
      <c r="F8" s="39"/>
      <c r="G8" s="39"/>
    </row>
    <row r="9" spans="1:7" ht="18" customHeight="1" x14ac:dyDescent="0.25">
      <c r="A9" s="25" t="s">
        <v>203</v>
      </c>
      <c r="B9" s="2"/>
      <c r="D9" s="37" t="s">
        <v>282</v>
      </c>
      <c r="E9" s="39"/>
      <c r="F9" s="39"/>
      <c r="G9" s="39"/>
    </row>
    <row r="10" spans="1:7" ht="18" customHeight="1" x14ac:dyDescent="0.25">
      <c r="A10" s="25" t="s">
        <v>255</v>
      </c>
      <c r="B10" s="2"/>
      <c r="D10" s="37" t="s">
        <v>283</v>
      </c>
      <c r="E10" s="39"/>
      <c r="F10" s="39"/>
      <c r="G10" s="39"/>
    </row>
    <row r="11" spans="1:7" ht="18" customHeight="1" x14ac:dyDescent="0.25">
      <c r="A11" s="25" t="s">
        <v>223</v>
      </c>
      <c r="B11" s="2"/>
    </row>
    <row r="12" spans="1:7" ht="18" customHeight="1" x14ac:dyDescent="0.25">
      <c r="A12" s="8"/>
    </row>
    <row r="13" spans="1:7" ht="18" customHeight="1" x14ac:dyDescent="0.25"/>
    <row r="14" spans="1:7" ht="18" customHeight="1" x14ac:dyDescent="0.25">
      <c r="B14" t="s">
        <v>204</v>
      </c>
    </row>
    <row r="15" spans="1:7" ht="18" customHeight="1" x14ac:dyDescent="0.25">
      <c r="B15" t="s">
        <v>205</v>
      </c>
    </row>
    <row r="16" spans="1:7" ht="18" customHeight="1" x14ac:dyDescent="0.25">
      <c r="B16" t="s">
        <v>206</v>
      </c>
    </row>
    <row r="17" spans="1:9" ht="18" customHeight="1" x14ac:dyDescent="0.25">
      <c r="B17" t="s">
        <v>207</v>
      </c>
    </row>
    <row r="18" spans="1:9" ht="18" customHeight="1" x14ac:dyDescent="0.25"/>
    <row r="19" spans="1:9" ht="18" customHeight="1" thickBot="1" x14ac:dyDescent="0.3"/>
    <row r="20" spans="1:9" ht="18" customHeight="1" x14ac:dyDescent="0.25">
      <c r="B20" s="30"/>
      <c r="C20" s="31" t="s">
        <v>208</v>
      </c>
      <c r="D20" s="31" t="s">
        <v>209</v>
      </c>
      <c r="E20" s="31" t="s">
        <v>210</v>
      </c>
      <c r="F20" s="32" t="s">
        <v>275</v>
      </c>
    </row>
    <row r="21" spans="1:9" ht="18" customHeight="1" x14ac:dyDescent="0.25">
      <c r="B21" s="12" t="s">
        <v>201</v>
      </c>
      <c r="C21" s="33" t="s">
        <v>276</v>
      </c>
      <c r="D21" s="33"/>
      <c r="E21" s="33"/>
      <c r="F21" s="34" t="s">
        <v>277</v>
      </c>
    </row>
    <row r="22" spans="1:9" ht="18" customHeight="1" x14ac:dyDescent="0.25">
      <c r="B22" s="12" t="s">
        <v>195</v>
      </c>
      <c r="C22" s="33" t="s">
        <v>278</v>
      </c>
      <c r="D22" s="33" t="s">
        <v>279</v>
      </c>
      <c r="E22" s="33" t="s">
        <v>280</v>
      </c>
      <c r="F22" s="34"/>
    </row>
    <row r="23" spans="1:9" ht="18" customHeight="1" x14ac:dyDescent="0.25">
      <c r="B23" s="12" t="s">
        <v>197</v>
      </c>
      <c r="C23" s="33" t="s">
        <v>278</v>
      </c>
      <c r="D23" s="33" t="s">
        <v>279</v>
      </c>
      <c r="E23" s="33" t="s">
        <v>280</v>
      </c>
      <c r="F23" s="34"/>
    </row>
    <row r="24" spans="1:9" ht="18" customHeight="1" thickBot="1" x14ac:dyDescent="0.3">
      <c r="B24" s="13" t="s">
        <v>192</v>
      </c>
      <c r="C24" s="35" t="s">
        <v>276</v>
      </c>
      <c r="D24" s="35"/>
      <c r="E24" s="35"/>
      <c r="F24" s="36" t="s">
        <v>277</v>
      </c>
    </row>
    <row r="25" spans="1:9" ht="18" customHeight="1" x14ac:dyDescent="0.25"/>
    <row r="26" spans="1:9" ht="18" customHeight="1" x14ac:dyDescent="0.25"/>
    <row r="27" spans="1:9" ht="18" customHeight="1" x14ac:dyDescent="0.25"/>
    <row r="28" spans="1:9" ht="18" customHeight="1" x14ac:dyDescent="0.4">
      <c r="A28" s="7" t="s">
        <v>211</v>
      </c>
    </row>
    <row r="29" spans="1:9" ht="18" customHeight="1" x14ac:dyDescent="0.25">
      <c r="E29" s="15"/>
      <c r="F29" s="15"/>
      <c r="G29" s="15"/>
      <c r="H29" s="15"/>
      <c r="I29" s="15"/>
    </row>
    <row r="30" spans="1:9" ht="18" customHeight="1" x14ac:dyDescent="0.25">
      <c r="A30" s="25" t="s">
        <v>224</v>
      </c>
      <c r="B30" s="2"/>
      <c r="C30" s="2"/>
      <c r="E30" s="69" t="s">
        <v>293</v>
      </c>
      <c r="F30" s="69"/>
      <c r="G30" s="69"/>
      <c r="H30" s="69"/>
      <c r="I30" s="15"/>
    </row>
    <row r="31" spans="1:9" ht="18" customHeight="1" x14ac:dyDescent="0.25">
      <c r="A31" s="25" t="s">
        <v>225</v>
      </c>
      <c r="B31" s="2"/>
      <c r="C31" s="2"/>
      <c r="E31" s="69"/>
      <c r="F31" s="69"/>
      <c r="G31" s="69"/>
      <c r="H31" s="69"/>
      <c r="I31" s="15"/>
    </row>
    <row r="32" spans="1:9" ht="18" customHeight="1" x14ac:dyDescent="0.25">
      <c r="A32" s="25" t="s">
        <v>226</v>
      </c>
      <c r="B32" s="2"/>
      <c r="C32" s="2"/>
      <c r="E32" s="69"/>
      <c r="F32" s="69"/>
      <c r="G32" s="69"/>
      <c r="H32" s="69"/>
    </row>
    <row r="33" spans="1:7" ht="18" customHeight="1" x14ac:dyDescent="0.25">
      <c r="A33" s="8"/>
      <c r="F33" s="28"/>
    </row>
    <row r="34" spans="1:7" ht="18" customHeight="1" x14ac:dyDescent="0.25">
      <c r="A34" s="8"/>
    </row>
    <row r="35" spans="1:7" ht="18" customHeight="1" x14ac:dyDescent="0.25">
      <c r="F35" s="2"/>
    </row>
    <row r="36" spans="1:7" ht="18" customHeight="1" x14ac:dyDescent="0.4">
      <c r="A36" s="7" t="s">
        <v>212</v>
      </c>
    </row>
    <row r="37" spans="1:7" ht="18" customHeight="1" x14ac:dyDescent="0.25">
      <c r="F37" s="28"/>
    </row>
    <row r="38" spans="1:7" ht="18" customHeight="1" x14ac:dyDescent="0.25">
      <c r="A38" s="25" t="s">
        <v>252</v>
      </c>
    </row>
    <row r="39" spans="1:7" ht="18" customHeight="1" x14ac:dyDescent="0.25">
      <c r="A39" s="8"/>
    </row>
    <row r="40" spans="1:7" ht="18" customHeight="1" x14ac:dyDescent="0.25">
      <c r="A40" s="8"/>
      <c r="B40" s="2" t="s">
        <v>253</v>
      </c>
    </row>
    <row r="41" spans="1:7" ht="18" customHeight="1" x14ac:dyDescent="0.25">
      <c r="A41" s="8"/>
      <c r="B41" s="2" t="s">
        <v>254</v>
      </c>
    </row>
    <row r="42" spans="1:7" ht="18" customHeight="1" thickBot="1" x14ac:dyDescent="0.3">
      <c r="E42" s="16"/>
      <c r="F42" s="16"/>
      <c r="G42" s="16"/>
    </row>
    <row r="43" spans="1:7" ht="18" customHeight="1" x14ac:dyDescent="0.25">
      <c r="B43" s="10"/>
      <c r="C43" s="11" t="s">
        <v>251</v>
      </c>
      <c r="E43" s="16"/>
      <c r="F43" s="16"/>
      <c r="G43" s="16"/>
    </row>
    <row r="44" spans="1:7" ht="18" customHeight="1" x14ac:dyDescent="0.25">
      <c r="B44" s="12" t="s">
        <v>227</v>
      </c>
      <c r="C44" s="70" t="s">
        <v>293</v>
      </c>
      <c r="E44" s="16"/>
      <c r="F44" s="16"/>
      <c r="G44" s="16"/>
    </row>
    <row r="45" spans="1:7" ht="18" customHeight="1" x14ac:dyDescent="0.25">
      <c r="B45" s="12" t="s">
        <v>213</v>
      </c>
      <c r="C45" s="71"/>
      <c r="E45" s="16"/>
      <c r="F45" s="16"/>
      <c r="G45" s="16"/>
    </row>
    <row r="46" spans="1:7" ht="18" customHeight="1" x14ac:dyDescent="0.25">
      <c r="B46" s="12" t="s">
        <v>214</v>
      </c>
      <c r="C46" s="71"/>
      <c r="E46" s="16"/>
      <c r="F46" s="16"/>
      <c r="G46" s="16"/>
    </row>
    <row r="47" spans="1:7" ht="18" customHeight="1" x14ac:dyDescent="0.25">
      <c r="B47" s="12" t="s">
        <v>215</v>
      </c>
      <c r="C47" s="71"/>
      <c r="E47" s="16"/>
      <c r="F47" s="16"/>
      <c r="G47" s="16"/>
    </row>
    <row r="48" spans="1:7" ht="18" customHeight="1" x14ac:dyDescent="0.25">
      <c r="B48" s="12" t="s">
        <v>216</v>
      </c>
      <c r="C48" s="71"/>
      <c r="E48" s="16"/>
      <c r="F48" s="16"/>
      <c r="G48" s="16"/>
    </row>
    <row r="49" spans="1:22" ht="18" customHeight="1" thickBot="1" x14ac:dyDescent="0.3">
      <c r="B49" s="13" t="s">
        <v>217</v>
      </c>
      <c r="C49" s="72"/>
      <c r="E49" s="16"/>
      <c r="F49" s="16"/>
      <c r="G49" s="16"/>
    </row>
    <row r="50" spans="1:22" ht="18" customHeight="1" x14ac:dyDescent="0.25"/>
    <row r="51" spans="1:22" ht="18" customHeight="1" x14ac:dyDescent="0.25">
      <c r="B51" t="s">
        <v>294</v>
      </c>
      <c r="E51" s="73" t="s">
        <v>295</v>
      </c>
      <c r="F51" s="73"/>
      <c r="G51" s="73"/>
      <c r="H51" s="73"/>
      <c r="I51" s="73"/>
      <c r="J51" s="73"/>
      <c r="K51" s="73"/>
      <c r="L51" s="73"/>
      <c r="M51" s="73"/>
      <c r="N51" s="73"/>
      <c r="O51" s="73"/>
      <c r="P51" s="73"/>
      <c r="Q51" s="73"/>
      <c r="R51" s="73"/>
      <c r="S51" s="73"/>
      <c r="T51" s="73"/>
      <c r="U51" s="73"/>
      <c r="V51" s="73"/>
    </row>
    <row r="52" spans="1:22" ht="18" customHeight="1" x14ac:dyDescent="0.25"/>
    <row r="53" spans="1:22" ht="18" customHeight="1" x14ac:dyDescent="0.25"/>
    <row r="54" spans="1:22" ht="18" customHeight="1" x14ac:dyDescent="0.25">
      <c r="A54" s="25" t="s">
        <v>256</v>
      </c>
    </row>
    <row r="55" spans="1:22" ht="18" customHeight="1" thickBot="1" x14ac:dyDescent="0.3">
      <c r="A55" s="25"/>
    </row>
    <row r="56" spans="1:22" ht="18" customHeight="1" x14ac:dyDescent="0.25">
      <c r="A56" s="25"/>
      <c r="B56" s="46" t="s">
        <v>296</v>
      </c>
      <c r="C56" s="47" t="s">
        <v>300</v>
      </c>
      <c r="D56" s="48" t="s">
        <v>297</v>
      </c>
      <c r="E56" s="49" t="s">
        <v>300</v>
      </c>
    </row>
    <row r="57" spans="1:22" ht="18" customHeight="1" x14ac:dyDescent="0.25">
      <c r="A57" s="25"/>
      <c r="B57" s="55" t="s">
        <v>151</v>
      </c>
      <c r="C57" s="56">
        <v>503432</v>
      </c>
      <c r="D57" s="50" t="s">
        <v>97</v>
      </c>
      <c r="E57" s="51">
        <v>2670</v>
      </c>
    </row>
    <row r="58" spans="1:22" ht="18" customHeight="1" x14ac:dyDescent="0.25">
      <c r="A58" s="25"/>
      <c r="B58" s="55" t="s">
        <v>185</v>
      </c>
      <c r="C58" s="56">
        <v>277629</v>
      </c>
      <c r="D58" s="50" t="s">
        <v>43</v>
      </c>
      <c r="E58" s="51">
        <v>3669</v>
      </c>
    </row>
    <row r="59" spans="1:22" ht="18" customHeight="1" x14ac:dyDescent="0.25">
      <c r="A59" s="25"/>
      <c r="B59" s="55" t="s">
        <v>157</v>
      </c>
      <c r="C59" s="56">
        <v>195091</v>
      </c>
      <c r="D59" s="50" t="s">
        <v>29</v>
      </c>
      <c r="E59" s="51">
        <v>4547</v>
      </c>
    </row>
    <row r="60" spans="1:22" ht="18" customHeight="1" x14ac:dyDescent="0.25">
      <c r="A60" s="25"/>
      <c r="B60" s="55" t="s">
        <v>139</v>
      </c>
      <c r="C60" s="56">
        <v>156210</v>
      </c>
      <c r="D60" s="50" t="s">
        <v>17</v>
      </c>
      <c r="E60" s="51">
        <v>5537</v>
      </c>
    </row>
    <row r="61" spans="1:22" ht="18" customHeight="1" thickBot="1" x14ac:dyDescent="0.3">
      <c r="A61" s="25"/>
      <c r="B61" s="57" t="s">
        <v>119</v>
      </c>
      <c r="C61" s="58">
        <v>147874</v>
      </c>
      <c r="D61" s="52" t="s">
        <v>9</v>
      </c>
      <c r="E61" s="53">
        <v>5883</v>
      </c>
    </row>
    <row r="62" spans="1:22" ht="18" customHeight="1" x14ac:dyDescent="0.25">
      <c r="A62" s="25"/>
      <c r="B62" s="40"/>
      <c r="C62" s="40"/>
      <c r="D62" s="40"/>
      <c r="E62" s="40"/>
    </row>
    <row r="63" spans="1:22" ht="18" customHeight="1" x14ac:dyDescent="0.25">
      <c r="A63" s="26" t="s">
        <v>257</v>
      </c>
      <c r="B63" s="26"/>
      <c r="C63" s="26"/>
      <c r="D63" s="26"/>
      <c r="G63" s="67" t="s">
        <v>298</v>
      </c>
      <c r="H63" s="67"/>
      <c r="I63" s="67"/>
      <c r="J63" s="67"/>
      <c r="K63" s="67"/>
      <c r="L63" s="67"/>
      <c r="M63" s="67"/>
      <c r="N63" s="67"/>
      <c r="O63" s="67"/>
      <c r="P63" s="67"/>
      <c r="Q63" s="67"/>
      <c r="R63" s="67"/>
    </row>
    <row r="64" spans="1:22" ht="18" customHeight="1" x14ac:dyDescent="0.25">
      <c r="A64" s="26"/>
      <c r="B64" s="26"/>
      <c r="C64" s="26"/>
      <c r="D64" s="26"/>
      <c r="G64" s="67"/>
      <c r="H64" s="67"/>
      <c r="I64" s="67"/>
      <c r="J64" s="67"/>
      <c r="K64" s="67"/>
      <c r="L64" s="67"/>
      <c r="M64" s="67"/>
      <c r="N64" s="67"/>
      <c r="O64" s="67"/>
      <c r="P64" s="67"/>
      <c r="Q64" s="67"/>
      <c r="R64" s="67"/>
    </row>
    <row r="65" spans="1:18" ht="18" customHeight="1" x14ac:dyDescent="0.25">
      <c r="A65" s="25" t="s">
        <v>258</v>
      </c>
      <c r="B65" s="26"/>
      <c r="C65" s="27"/>
      <c r="D65" s="27"/>
    </row>
    <row r="66" spans="1:18" ht="18" customHeight="1" x14ac:dyDescent="0.25">
      <c r="A66" s="2" t="s">
        <v>259</v>
      </c>
      <c r="B66" s="27"/>
      <c r="C66" s="26"/>
      <c r="D66" s="26"/>
    </row>
    <row r="67" spans="1:18" ht="18" customHeight="1" thickBot="1" x14ac:dyDescent="0.3">
      <c r="A67" s="2"/>
      <c r="B67" s="27"/>
      <c r="C67" s="26"/>
      <c r="D67" s="26"/>
    </row>
    <row r="68" spans="1:18" ht="18" customHeight="1" x14ac:dyDescent="0.25">
      <c r="A68" s="2"/>
      <c r="B68" s="46" t="s">
        <v>301</v>
      </c>
      <c r="C68" s="47" t="s">
        <v>299</v>
      </c>
      <c r="D68" s="48" t="s">
        <v>302</v>
      </c>
      <c r="E68" s="49" t="s">
        <v>299</v>
      </c>
    </row>
    <row r="69" spans="1:18" ht="18" customHeight="1" x14ac:dyDescent="0.25">
      <c r="A69" s="2"/>
      <c r="B69" s="55" t="s">
        <v>151</v>
      </c>
      <c r="C69" s="59">
        <v>0.36746700379414399</v>
      </c>
      <c r="D69" s="50" t="s">
        <v>29</v>
      </c>
      <c r="E69" s="61">
        <v>5.3916569829487511E-2</v>
      </c>
    </row>
    <row r="70" spans="1:18" ht="18" customHeight="1" x14ac:dyDescent="0.25">
      <c r="A70" s="2"/>
      <c r="B70" s="55" t="s">
        <v>185</v>
      </c>
      <c r="C70" s="59">
        <v>0.30129022526037286</v>
      </c>
      <c r="D70" s="50" t="s">
        <v>43</v>
      </c>
      <c r="E70" s="61">
        <v>5.4432163786069285E-2</v>
      </c>
    </row>
    <row r="71" spans="1:18" ht="18" customHeight="1" x14ac:dyDescent="0.25">
      <c r="A71" s="2"/>
      <c r="B71" s="55" t="s">
        <v>157</v>
      </c>
      <c r="C71" s="59">
        <v>0.23697517780031704</v>
      </c>
      <c r="D71" s="50" t="s">
        <v>123</v>
      </c>
      <c r="E71" s="61">
        <v>5.6983451883356552E-2</v>
      </c>
      <c r="G71" s="67" t="s">
        <v>321</v>
      </c>
      <c r="H71" s="67"/>
      <c r="I71" s="67"/>
      <c r="J71" s="67"/>
      <c r="K71" s="67"/>
      <c r="L71" s="67"/>
      <c r="M71" s="67"/>
      <c r="N71" s="67"/>
      <c r="O71" s="67"/>
      <c r="P71" s="67"/>
      <c r="Q71" s="67"/>
      <c r="R71" s="67"/>
    </row>
    <row r="72" spans="1:18" ht="18" customHeight="1" x14ac:dyDescent="0.25">
      <c r="A72" s="2"/>
      <c r="B72" s="55" t="s">
        <v>189</v>
      </c>
      <c r="C72" s="59">
        <v>0.18887950214426208</v>
      </c>
      <c r="D72" s="50" t="s">
        <v>111</v>
      </c>
      <c r="E72" s="61">
        <v>5.7729819832600372E-2</v>
      </c>
      <c r="G72" s="67"/>
      <c r="H72" s="67"/>
      <c r="I72" s="67"/>
      <c r="J72" s="67"/>
      <c r="K72" s="67"/>
      <c r="L72" s="67"/>
      <c r="M72" s="67"/>
      <c r="N72" s="67"/>
      <c r="O72" s="67"/>
      <c r="P72" s="67"/>
      <c r="Q72" s="67"/>
      <c r="R72" s="67"/>
    </row>
    <row r="73" spans="1:18" ht="18" customHeight="1" thickBot="1" x14ac:dyDescent="0.3">
      <c r="A73" s="26"/>
      <c r="B73" s="57" t="s">
        <v>63</v>
      </c>
      <c r="C73" s="60">
        <v>0.1813461511393866</v>
      </c>
      <c r="D73" s="52" t="s">
        <v>105</v>
      </c>
      <c r="E73" s="62">
        <v>5.7770393256853757E-2</v>
      </c>
      <c r="G73" s="67"/>
      <c r="H73" s="67"/>
      <c r="I73" s="67"/>
      <c r="J73" s="67"/>
      <c r="K73" s="67"/>
      <c r="L73" s="67"/>
      <c r="M73" s="67"/>
      <c r="N73" s="67"/>
      <c r="O73" s="67"/>
      <c r="P73" s="67"/>
      <c r="Q73" s="67"/>
      <c r="R73" s="67"/>
    </row>
    <row r="74" spans="1:18" ht="18" customHeight="1" x14ac:dyDescent="0.25">
      <c r="A74" s="26"/>
      <c r="B74" s="40"/>
      <c r="C74" s="40"/>
      <c r="D74" s="54"/>
      <c r="E74" s="54"/>
    </row>
    <row r="75" spans="1:18" ht="18" customHeight="1" x14ac:dyDescent="0.25">
      <c r="A75" s="26"/>
      <c r="B75" s="40"/>
      <c r="C75" s="40"/>
      <c r="D75" s="54"/>
      <c r="E75" s="54"/>
    </row>
    <row r="76" spans="1:18" ht="18" customHeight="1" x14ac:dyDescent="0.25">
      <c r="A76" s="25" t="s">
        <v>260</v>
      </c>
      <c r="B76" s="27"/>
      <c r="C76" s="26"/>
      <c r="D76" s="26"/>
      <c r="G76" s="67" t="s">
        <v>303</v>
      </c>
      <c r="H76" s="68"/>
      <c r="I76" s="68"/>
      <c r="J76" s="68"/>
      <c r="K76" s="68"/>
      <c r="L76" s="68"/>
      <c r="M76" s="68"/>
      <c r="N76" s="68"/>
      <c r="O76" s="68"/>
      <c r="P76" s="68"/>
      <c r="Q76" s="68"/>
    </row>
    <row r="77" spans="1:18" ht="18" customHeight="1" x14ac:dyDescent="0.25">
      <c r="A77" s="25"/>
      <c r="B77" s="27"/>
      <c r="C77" s="26"/>
      <c r="D77" s="26"/>
      <c r="G77" s="68"/>
      <c r="H77" s="68"/>
      <c r="I77" s="68"/>
      <c r="J77" s="68"/>
      <c r="K77" s="68"/>
      <c r="L77" s="68"/>
      <c r="M77" s="68"/>
      <c r="N77" s="68"/>
      <c r="O77" s="68"/>
      <c r="P77" s="68"/>
      <c r="Q77" s="68"/>
    </row>
    <row r="78" spans="1:18" ht="18" customHeight="1" x14ac:dyDescent="0.25">
      <c r="A78" s="25"/>
      <c r="B78" s="27"/>
      <c r="C78" s="26"/>
      <c r="D78" s="26"/>
      <c r="G78" s="68"/>
      <c r="H78" s="68"/>
      <c r="I78" s="68"/>
      <c r="J78" s="68"/>
      <c r="K78" s="68"/>
      <c r="L78" s="68"/>
      <c r="M78" s="68"/>
      <c r="N78" s="68"/>
      <c r="O78" s="68"/>
      <c r="P78" s="68"/>
      <c r="Q78" s="68"/>
    </row>
    <row r="79" spans="1:18" ht="18" customHeight="1" x14ac:dyDescent="0.25">
      <c r="A79" s="25"/>
      <c r="B79" s="27"/>
      <c r="C79" s="26"/>
      <c r="D79" s="26"/>
      <c r="G79" s="68"/>
      <c r="H79" s="68"/>
      <c r="I79" s="68"/>
      <c r="J79" s="68"/>
      <c r="K79" s="68"/>
      <c r="L79" s="68"/>
      <c r="M79" s="68"/>
      <c r="N79" s="68"/>
      <c r="O79" s="68"/>
      <c r="P79" s="68"/>
      <c r="Q79" s="68"/>
    </row>
    <row r="80" spans="1:18" ht="18" customHeight="1" x14ac:dyDescent="0.25">
      <c r="A80" s="25"/>
      <c r="B80" s="27"/>
      <c r="C80" s="26"/>
      <c r="D80" s="26"/>
      <c r="G80" s="68"/>
      <c r="H80" s="68"/>
      <c r="I80" s="68"/>
      <c r="J80" s="68"/>
      <c r="K80" s="68"/>
      <c r="L80" s="68"/>
      <c r="M80" s="68"/>
      <c r="N80" s="68"/>
      <c r="O80" s="68"/>
      <c r="P80" s="68"/>
      <c r="Q80" s="68"/>
    </row>
    <row r="81" spans="1:17" ht="18" customHeight="1" x14ac:dyDescent="0.25">
      <c r="A81" s="25"/>
      <c r="B81" s="27"/>
      <c r="C81" s="26"/>
      <c r="D81" s="26"/>
      <c r="G81" s="68"/>
      <c r="H81" s="68"/>
      <c r="I81" s="68"/>
      <c r="J81" s="68"/>
      <c r="K81" s="68"/>
      <c r="L81" s="68"/>
      <c r="M81" s="68"/>
      <c r="N81" s="68"/>
      <c r="O81" s="68"/>
      <c r="P81" s="68"/>
      <c r="Q81" s="68"/>
    </row>
    <row r="82" spans="1:17" ht="18" customHeight="1" x14ac:dyDescent="0.25">
      <c r="A82" s="25"/>
      <c r="B82" s="27"/>
      <c r="C82" s="26"/>
      <c r="D82" s="26"/>
      <c r="G82" s="68"/>
      <c r="H82" s="68"/>
      <c r="I82" s="68"/>
      <c r="J82" s="68"/>
      <c r="K82" s="68"/>
      <c r="L82" s="68"/>
      <c r="M82" s="68"/>
      <c r="N82" s="68"/>
      <c r="O82" s="68"/>
      <c r="P82" s="68"/>
      <c r="Q82" s="68"/>
    </row>
    <row r="83" spans="1:17" ht="18" customHeight="1" x14ac:dyDescent="0.25">
      <c r="A83" s="25" t="s">
        <v>261</v>
      </c>
      <c r="B83" s="27"/>
      <c r="C83" s="26"/>
      <c r="D83" s="26"/>
    </row>
    <row r="84" spans="1:17" ht="18" customHeight="1" x14ac:dyDescent="0.25">
      <c r="A84" s="2" t="s">
        <v>262</v>
      </c>
      <c r="B84" s="27"/>
      <c r="C84" s="26"/>
      <c r="D84" s="26"/>
    </row>
    <row r="85" spans="1:17" ht="18" customHeight="1" thickBot="1" x14ac:dyDescent="0.3">
      <c r="A85" s="2"/>
      <c r="B85" s="27"/>
      <c r="C85" s="26"/>
      <c r="D85" s="26"/>
    </row>
    <row r="86" spans="1:17" ht="18" customHeight="1" x14ac:dyDescent="0.25">
      <c r="A86" s="2"/>
      <c r="B86" s="46" t="s">
        <v>304</v>
      </c>
      <c r="C86" s="47" t="s">
        <v>306</v>
      </c>
      <c r="D86" s="48" t="s">
        <v>305</v>
      </c>
      <c r="E86" s="49" t="s">
        <v>307</v>
      </c>
    </row>
    <row r="87" spans="1:17" ht="18" customHeight="1" x14ac:dyDescent="0.25">
      <c r="A87" s="2"/>
      <c r="B87" s="55" t="s">
        <v>41</v>
      </c>
      <c r="C87" s="56">
        <v>12517</v>
      </c>
      <c r="D87" s="50" t="s">
        <v>29</v>
      </c>
      <c r="E87" s="61">
        <v>8.8113927953138715E-2</v>
      </c>
      <c r="G87" s="67" t="s">
        <v>308</v>
      </c>
      <c r="H87" s="67"/>
      <c r="I87" s="67"/>
      <c r="J87" s="67"/>
      <c r="K87" s="67"/>
      <c r="L87" s="67"/>
      <c r="M87" s="67"/>
      <c r="N87" s="67"/>
      <c r="O87" s="67"/>
    </row>
    <row r="88" spans="1:17" ht="18" customHeight="1" x14ac:dyDescent="0.25">
      <c r="A88" s="2"/>
      <c r="B88" s="55" t="s">
        <v>71</v>
      </c>
      <c r="C88" s="56">
        <v>12050</v>
      </c>
      <c r="D88" s="50" t="s">
        <v>43</v>
      </c>
      <c r="E88" s="61">
        <v>7.8020918329500782E-2</v>
      </c>
      <c r="G88" s="67"/>
      <c r="H88" s="67"/>
      <c r="I88" s="67"/>
      <c r="J88" s="67"/>
      <c r="K88" s="67"/>
      <c r="L88" s="67"/>
      <c r="M88" s="67"/>
      <c r="N88" s="67"/>
      <c r="O88" s="67"/>
    </row>
    <row r="89" spans="1:17" ht="18" customHeight="1" x14ac:dyDescent="0.25">
      <c r="A89" s="2"/>
      <c r="B89" s="55" t="s">
        <v>23</v>
      </c>
      <c r="C89" s="56">
        <v>11100</v>
      </c>
      <c r="D89" s="50" t="s">
        <v>97</v>
      </c>
      <c r="E89" s="61">
        <v>7.7836867186960423E-2</v>
      </c>
      <c r="G89" s="67"/>
      <c r="H89" s="67"/>
      <c r="I89" s="67"/>
      <c r="J89" s="67"/>
      <c r="K89" s="67"/>
      <c r="L89" s="67"/>
      <c r="M89" s="67"/>
      <c r="N89" s="67"/>
      <c r="O89" s="67"/>
    </row>
    <row r="90" spans="1:17" ht="18" customHeight="1" x14ac:dyDescent="0.25">
      <c r="A90" s="2"/>
      <c r="B90" s="55" t="s">
        <v>55</v>
      </c>
      <c r="C90" s="56">
        <v>11054</v>
      </c>
      <c r="D90" s="50" t="s">
        <v>23</v>
      </c>
      <c r="E90" s="61">
        <v>7.3113378430894688E-2</v>
      </c>
    </row>
    <row r="91" spans="1:17" ht="18" customHeight="1" thickBot="1" x14ac:dyDescent="0.3">
      <c r="A91" s="2"/>
      <c r="B91" s="57" t="s">
        <v>99</v>
      </c>
      <c r="C91" s="58">
        <v>10644</v>
      </c>
      <c r="D91" s="52" t="s">
        <v>65</v>
      </c>
      <c r="E91" s="62">
        <v>7.0351319026458317E-2</v>
      </c>
    </row>
    <row r="92" spans="1:17" ht="18" customHeight="1" x14ac:dyDescent="0.25">
      <c r="A92" s="25"/>
      <c r="B92" s="27"/>
      <c r="C92" s="26"/>
      <c r="D92" s="26"/>
    </row>
    <row r="93" spans="1:17" ht="18" customHeight="1" x14ac:dyDescent="0.25">
      <c r="A93" s="25" t="s">
        <v>263</v>
      </c>
      <c r="B93" s="27"/>
      <c r="C93" s="26"/>
      <c r="D93" s="26"/>
      <c r="G93" s="67" t="s">
        <v>309</v>
      </c>
      <c r="H93" s="67"/>
      <c r="I93" s="67"/>
      <c r="J93" s="67"/>
      <c r="K93" s="67"/>
      <c r="L93" s="67"/>
      <c r="M93" s="67"/>
      <c r="N93" s="67"/>
      <c r="O93" s="67"/>
      <c r="P93" s="67"/>
    </row>
    <row r="94" spans="1:17" ht="18" customHeight="1" x14ac:dyDescent="0.25">
      <c r="A94" s="25"/>
      <c r="B94" s="27"/>
      <c r="C94" s="26"/>
      <c r="D94" s="26"/>
      <c r="G94" s="67"/>
      <c r="H94" s="67"/>
      <c r="I94" s="67"/>
      <c r="J94" s="67"/>
      <c r="K94" s="67"/>
      <c r="L94" s="67"/>
      <c r="M94" s="67"/>
      <c r="N94" s="67"/>
      <c r="O94" s="67"/>
      <c r="P94" s="67"/>
    </row>
    <row r="95" spans="1:17" ht="23.4" customHeight="1" x14ac:dyDescent="0.25">
      <c r="A95" s="26"/>
      <c r="B95" s="27"/>
      <c r="C95" s="26"/>
      <c r="D95" s="26"/>
      <c r="G95" s="67"/>
      <c r="H95" s="67"/>
      <c r="I95" s="67"/>
      <c r="J95" s="67"/>
      <c r="K95" s="67"/>
      <c r="L95" s="67"/>
      <c r="M95" s="67"/>
      <c r="N95" s="67"/>
      <c r="O95" s="67"/>
      <c r="P95" s="67"/>
    </row>
    <row r="96" spans="1:17" ht="18" customHeight="1" x14ac:dyDescent="0.25">
      <c r="A96" s="8" t="s">
        <v>310</v>
      </c>
    </row>
    <row r="97" spans="1:15" ht="18" customHeight="1" x14ac:dyDescent="0.25">
      <c r="A97" s="2" t="s">
        <v>264</v>
      </c>
      <c r="G97" s="67" t="s">
        <v>311</v>
      </c>
      <c r="H97" s="67"/>
      <c r="I97" s="67"/>
      <c r="J97" s="67"/>
      <c r="K97" s="67"/>
      <c r="L97" s="67"/>
      <c r="M97" s="67"/>
      <c r="N97" s="67"/>
      <c r="O97" s="67"/>
    </row>
    <row r="98" spans="1:15" ht="18" customHeight="1" x14ac:dyDescent="0.25">
      <c r="A98" s="2" t="s">
        <v>265</v>
      </c>
      <c r="G98" s="67"/>
      <c r="H98" s="67"/>
      <c r="I98" s="67"/>
      <c r="J98" s="67"/>
      <c r="K98" s="67"/>
      <c r="L98" s="67"/>
      <c r="M98" s="67"/>
      <c r="N98" s="67"/>
      <c r="O98" s="67"/>
    </row>
    <row r="99" spans="1:15" ht="28.8" customHeight="1" x14ac:dyDescent="0.25">
      <c r="G99" s="67"/>
      <c r="H99" s="67"/>
      <c r="I99" s="67"/>
      <c r="J99" s="67"/>
      <c r="K99" s="67"/>
      <c r="L99" s="67"/>
      <c r="M99" s="67"/>
      <c r="N99" s="67"/>
      <c r="O99" s="67"/>
    </row>
    <row r="100" spans="1:15" ht="21" customHeight="1" x14ac:dyDescent="0.25"/>
    <row r="101" spans="1:15" ht="18" customHeight="1" x14ac:dyDescent="0.25">
      <c r="A101" s="8" t="s">
        <v>267</v>
      </c>
    </row>
    <row r="102" spans="1:15" ht="18" customHeight="1" x14ac:dyDescent="0.25">
      <c r="A102" s="29" t="s">
        <v>266</v>
      </c>
      <c r="B102" s="2"/>
      <c r="G102" s="67" t="s">
        <v>312</v>
      </c>
      <c r="H102" s="67"/>
      <c r="I102" s="67"/>
      <c r="J102" s="67"/>
      <c r="K102" s="67"/>
      <c r="L102" s="67"/>
      <c r="M102" s="67"/>
      <c r="N102" s="67"/>
      <c r="O102" s="67"/>
    </row>
    <row r="103" spans="1:15" ht="18" customHeight="1" x14ac:dyDescent="0.25">
      <c r="A103" s="8"/>
      <c r="G103" s="67"/>
      <c r="H103" s="67"/>
      <c r="I103" s="67"/>
      <c r="J103" s="67"/>
      <c r="K103" s="67"/>
      <c r="L103" s="67"/>
      <c r="M103" s="67"/>
      <c r="N103" s="67"/>
      <c r="O103" s="67"/>
    </row>
    <row r="104" spans="1:15" ht="18" customHeight="1" x14ac:dyDescent="0.25">
      <c r="G104" s="67"/>
      <c r="H104" s="67"/>
      <c r="I104" s="67"/>
      <c r="J104" s="67"/>
      <c r="K104" s="67"/>
      <c r="L104" s="67"/>
      <c r="M104" s="67"/>
      <c r="N104" s="67"/>
      <c r="O104" s="67"/>
    </row>
    <row r="105" spans="1:15" ht="18" customHeight="1" x14ac:dyDescent="0.25"/>
    <row r="106" spans="1:15" ht="18" customHeight="1" x14ac:dyDescent="0.25">
      <c r="A106" s="8" t="s">
        <v>268</v>
      </c>
    </row>
    <row r="107" spans="1:15" ht="18" customHeight="1" x14ac:dyDescent="0.25">
      <c r="A107" s="8"/>
    </row>
    <row r="108" spans="1:15" ht="18" customHeight="1" thickBot="1" x14ac:dyDescent="0.3"/>
    <row r="109" spans="1:15" ht="18" customHeight="1" x14ac:dyDescent="0.3">
      <c r="B109" s="10"/>
      <c r="C109" s="23" t="s">
        <v>251</v>
      </c>
      <c r="D109" s="22"/>
    </row>
    <row r="110" spans="1:15" ht="18" customHeight="1" x14ac:dyDescent="0.25">
      <c r="B110" s="12" t="s">
        <v>228</v>
      </c>
      <c r="C110" s="70" t="s">
        <v>293</v>
      </c>
    </row>
    <row r="111" spans="1:15" ht="18" customHeight="1" x14ac:dyDescent="0.25">
      <c r="B111" s="12" t="s">
        <v>229</v>
      </c>
      <c r="C111" s="71"/>
    </row>
    <row r="112" spans="1:15" ht="18" customHeight="1" thickBot="1" x14ac:dyDescent="0.3">
      <c r="B112" s="13" t="s">
        <v>218</v>
      </c>
      <c r="C112" s="72"/>
    </row>
    <row r="113" spans="1:12" ht="18" customHeight="1" x14ac:dyDescent="0.25"/>
    <row r="114" spans="1:12" ht="18" customHeight="1" x14ac:dyDescent="0.25"/>
    <row r="115" spans="1:12" ht="18" customHeight="1" x14ac:dyDescent="0.25">
      <c r="A115" s="24" t="s">
        <v>269</v>
      </c>
      <c r="B115" s="25"/>
    </row>
    <row r="116" spans="1:12" ht="18" customHeight="1" x14ac:dyDescent="0.25">
      <c r="A116" s="24"/>
      <c r="B116" s="25"/>
      <c r="C116" s="67" t="s">
        <v>315</v>
      </c>
      <c r="D116" s="67"/>
      <c r="E116" s="67"/>
      <c r="F116" s="67"/>
      <c r="G116" s="67"/>
      <c r="H116" s="67"/>
      <c r="I116" s="67"/>
      <c r="J116" s="67"/>
      <c r="K116" s="67"/>
    </row>
    <row r="117" spans="1:12" ht="18" customHeight="1" x14ac:dyDescent="0.25">
      <c r="A117" s="24"/>
      <c r="B117" s="25"/>
      <c r="C117" s="67"/>
      <c r="D117" s="67"/>
      <c r="E117" s="67"/>
      <c r="F117" s="67"/>
      <c r="G117" s="67"/>
      <c r="H117" s="67"/>
      <c r="I117" s="67"/>
      <c r="J117" s="67"/>
      <c r="K117" s="67"/>
    </row>
    <row r="118" spans="1:12" ht="18" customHeight="1" x14ac:dyDescent="0.25">
      <c r="A118" s="24"/>
      <c r="B118" s="25"/>
      <c r="C118" s="67"/>
      <c r="D118" s="67"/>
      <c r="E118" s="67"/>
      <c r="F118" s="67"/>
      <c r="G118" s="67"/>
      <c r="H118" s="67"/>
      <c r="I118" s="67"/>
      <c r="J118" s="67"/>
      <c r="K118" s="67"/>
    </row>
    <row r="119" spans="1:12" ht="18" customHeight="1" x14ac:dyDescent="0.25">
      <c r="A119" s="24"/>
      <c r="B119" s="25"/>
    </row>
    <row r="120" spans="1:12" ht="18" customHeight="1" x14ac:dyDescent="0.25">
      <c r="A120" s="25" t="s">
        <v>270</v>
      </c>
      <c r="B120" s="25"/>
    </row>
    <row r="121" spans="1:12" ht="18" customHeight="1" x14ac:dyDescent="0.25">
      <c r="A121" s="25"/>
      <c r="B121" s="25"/>
      <c r="D121" s="67" t="s">
        <v>313</v>
      </c>
      <c r="E121" s="67"/>
      <c r="F121" s="67"/>
      <c r="G121" s="67"/>
      <c r="H121" s="67"/>
      <c r="I121" s="67"/>
      <c r="J121" s="67"/>
      <c r="K121" s="67"/>
      <c r="L121" s="67"/>
    </row>
    <row r="122" spans="1:12" ht="18" customHeight="1" x14ac:dyDescent="0.25">
      <c r="A122" s="25"/>
      <c r="B122" s="25"/>
      <c r="D122" s="67"/>
      <c r="E122" s="67"/>
      <c r="F122" s="67"/>
      <c r="G122" s="67"/>
      <c r="H122" s="67"/>
      <c r="I122" s="67"/>
      <c r="J122" s="67"/>
      <c r="K122" s="67"/>
      <c r="L122" s="67"/>
    </row>
    <row r="123" spans="1:12" ht="18" customHeight="1" x14ac:dyDescent="0.25">
      <c r="A123" s="25"/>
      <c r="B123" s="25"/>
      <c r="D123" s="67"/>
      <c r="E123" s="67"/>
      <c r="F123" s="67"/>
      <c r="G123" s="67"/>
      <c r="H123" s="67"/>
      <c r="I123" s="67"/>
      <c r="J123" s="67"/>
      <c r="K123" s="67"/>
      <c r="L123" s="67"/>
    </row>
    <row r="124" spans="1:12" ht="18" customHeight="1" x14ac:dyDescent="0.25">
      <c r="A124" s="25"/>
      <c r="B124" s="25"/>
    </row>
    <row r="125" spans="1:12" ht="18" customHeight="1" x14ac:dyDescent="0.25">
      <c r="A125" s="25" t="s">
        <v>271</v>
      </c>
      <c r="B125" s="25"/>
    </row>
    <row r="126" spans="1:12" ht="18" customHeight="1" x14ac:dyDescent="0.25">
      <c r="A126" s="25"/>
      <c r="B126" s="25"/>
      <c r="D126" s="67" t="s">
        <v>314</v>
      </c>
      <c r="E126" s="67"/>
      <c r="F126" s="67"/>
      <c r="G126" s="67"/>
      <c r="H126" s="67"/>
      <c r="I126" s="67"/>
    </row>
    <row r="127" spans="1:12" ht="18" customHeight="1" x14ac:dyDescent="0.25">
      <c r="A127" s="25"/>
      <c r="B127" s="25"/>
      <c r="D127" s="67"/>
      <c r="E127" s="67"/>
      <c r="F127" s="67"/>
      <c r="G127" s="67"/>
      <c r="H127" s="67"/>
      <c r="I127" s="67"/>
    </row>
    <row r="128" spans="1:12" ht="18" customHeight="1" x14ac:dyDescent="0.25">
      <c r="A128" s="25"/>
      <c r="B128" s="25"/>
    </row>
    <row r="129" spans="1:9" ht="18" customHeight="1" x14ac:dyDescent="0.25">
      <c r="A129" s="25" t="s">
        <v>272</v>
      </c>
      <c r="B129" s="25"/>
    </row>
    <row r="130" spans="1:9" ht="18" customHeight="1" x14ac:dyDescent="0.25">
      <c r="A130" s="2" t="s">
        <v>273</v>
      </c>
      <c r="B130" s="25"/>
    </row>
    <row r="131" spans="1:9" ht="18" customHeight="1" x14ac:dyDescent="0.25">
      <c r="A131" s="2"/>
      <c r="B131" s="25"/>
    </row>
    <row r="132" spans="1:9" ht="51.6" customHeight="1" x14ac:dyDescent="0.25">
      <c r="A132" s="2"/>
      <c r="B132" s="25"/>
      <c r="D132" s="67" t="s">
        <v>316</v>
      </c>
      <c r="E132" s="68"/>
      <c r="F132" s="68"/>
      <c r="G132" s="68"/>
      <c r="H132" s="68"/>
      <c r="I132" s="68"/>
    </row>
    <row r="133" spans="1:9" ht="59.4" customHeight="1" x14ac:dyDescent="0.25">
      <c r="A133" s="2"/>
      <c r="B133" s="25"/>
      <c r="D133" s="68"/>
      <c r="E133" s="68"/>
      <c r="F133" s="68"/>
      <c r="G133" s="68"/>
      <c r="H133" s="68"/>
      <c r="I133" s="68"/>
    </row>
    <row r="134" spans="1:9" ht="32.4" customHeight="1" x14ac:dyDescent="0.25">
      <c r="A134" s="2"/>
      <c r="B134" s="25"/>
      <c r="D134" s="68"/>
      <c r="E134" s="68"/>
      <c r="F134" s="68"/>
      <c r="G134" s="68"/>
      <c r="H134" s="68"/>
      <c r="I134" s="68"/>
    </row>
    <row r="135" spans="1:9" ht="42.6" customHeight="1" x14ac:dyDescent="0.25">
      <c r="A135" s="2"/>
      <c r="B135" s="25"/>
      <c r="D135" s="68"/>
      <c r="E135" s="68"/>
      <c r="F135" s="68"/>
      <c r="G135" s="68"/>
      <c r="H135" s="68"/>
      <c r="I135" s="68"/>
    </row>
    <row r="136" spans="1:9" ht="18" customHeight="1" x14ac:dyDescent="0.25">
      <c r="A136" s="25"/>
      <c r="B136" s="25"/>
    </row>
    <row r="137" spans="1:9" ht="18" customHeight="1" x14ac:dyDescent="0.25">
      <c r="A137" s="25" t="s">
        <v>317</v>
      </c>
      <c r="B137" s="25"/>
    </row>
    <row r="138" spans="1:9" ht="18" customHeight="1" x14ac:dyDescent="0.25">
      <c r="A138" s="25"/>
      <c r="B138" s="25"/>
    </row>
    <row r="139" spans="1:9" ht="50.4" customHeight="1" x14ac:dyDescent="0.25">
      <c r="A139" s="25"/>
      <c r="B139" s="25"/>
      <c r="D139" s="67" t="s">
        <v>318</v>
      </c>
      <c r="E139" s="67"/>
      <c r="F139" s="67"/>
      <c r="G139" s="67"/>
      <c r="H139" s="67"/>
      <c r="I139" s="67"/>
    </row>
    <row r="140" spans="1:9" ht="67.2" customHeight="1" x14ac:dyDescent="0.25">
      <c r="A140" s="25"/>
      <c r="B140" s="25"/>
      <c r="D140" s="67"/>
      <c r="E140" s="67"/>
      <c r="F140" s="67"/>
      <c r="G140" s="67"/>
      <c r="H140" s="67"/>
      <c r="I140" s="67"/>
    </row>
    <row r="141" spans="1:9" ht="18" customHeight="1" x14ac:dyDescent="0.25">
      <c r="A141" s="25"/>
      <c r="B141" s="25"/>
    </row>
    <row r="142" spans="1:9" ht="18" customHeight="1" x14ac:dyDescent="0.25">
      <c r="A142" s="25"/>
      <c r="B142" s="25"/>
    </row>
    <row r="143" spans="1:9" ht="18" customHeight="1" x14ac:dyDescent="0.25">
      <c r="A143" s="25" t="s">
        <v>274</v>
      </c>
    </row>
    <row r="144" spans="1:9" ht="23.4" customHeight="1" x14ac:dyDescent="0.25">
      <c r="D144" s="67" t="s">
        <v>319</v>
      </c>
      <c r="E144" s="68"/>
      <c r="F144" s="68"/>
      <c r="G144" s="68"/>
      <c r="H144" s="68"/>
      <c r="I144" s="68"/>
    </row>
    <row r="145" spans="2:9" ht="60.6" customHeight="1" x14ac:dyDescent="0.25">
      <c r="D145" s="68"/>
      <c r="E145" s="68"/>
      <c r="F145" s="68"/>
      <c r="G145" s="68"/>
      <c r="H145" s="68"/>
      <c r="I145" s="68"/>
    </row>
    <row r="146" spans="2:9" ht="66" customHeight="1" x14ac:dyDescent="0.25">
      <c r="D146" s="68"/>
      <c r="E146" s="68"/>
      <c r="F146" s="68"/>
      <c r="G146" s="68"/>
      <c r="H146" s="68"/>
      <c r="I146" s="68"/>
    </row>
    <row r="147" spans="2:9" ht="49.2" customHeight="1" x14ac:dyDescent="0.25">
      <c r="D147" s="68"/>
      <c r="E147" s="68"/>
      <c r="F147" s="68"/>
      <c r="G147" s="68"/>
      <c r="H147" s="68"/>
      <c r="I147" s="68"/>
    </row>
    <row r="150" spans="2:9" x14ac:dyDescent="0.25">
      <c r="B150" s="65" t="s">
        <v>320</v>
      </c>
      <c r="C150" s="66"/>
      <c r="D150" s="66"/>
      <c r="E150" s="66"/>
      <c r="F150" s="66"/>
      <c r="G150" s="66"/>
      <c r="H150" s="66"/>
      <c r="I150" s="66"/>
    </row>
    <row r="151" spans="2:9" x14ac:dyDescent="0.25">
      <c r="B151" s="66"/>
      <c r="C151" s="66"/>
      <c r="D151" s="66"/>
      <c r="E151" s="66"/>
      <c r="F151" s="66"/>
      <c r="G151" s="66"/>
      <c r="H151" s="66"/>
      <c r="I151" s="66"/>
    </row>
    <row r="152" spans="2:9" ht="28.2" customHeight="1" x14ac:dyDescent="0.25">
      <c r="B152" s="66"/>
      <c r="C152" s="66"/>
      <c r="D152" s="66"/>
      <c r="E152" s="66"/>
      <c r="F152" s="66"/>
      <c r="G152" s="66"/>
      <c r="H152" s="66"/>
      <c r="I152" s="66"/>
    </row>
    <row r="153" spans="2:9" ht="24" customHeight="1" x14ac:dyDescent="0.25">
      <c r="B153" s="66"/>
      <c r="C153" s="66"/>
      <c r="D153" s="66"/>
      <c r="E153" s="66"/>
      <c r="F153" s="66"/>
      <c r="G153" s="66"/>
      <c r="H153" s="66"/>
      <c r="I153" s="66"/>
    </row>
    <row r="154" spans="2:9" x14ac:dyDescent="0.25">
      <c r="B154" s="66"/>
      <c r="C154" s="66"/>
      <c r="D154" s="66"/>
      <c r="E154" s="66"/>
      <c r="F154" s="66"/>
      <c r="G154" s="66"/>
      <c r="H154" s="66"/>
      <c r="I154" s="66"/>
    </row>
    <row r="155" spans="2:9" ht="33.6" customHeight="1" x14ac:dyDescent="0.25">
      <c r="B155" s="66"/>
      <c r="C155" s="66"/>
      <c r="D155" s="66"/>
      <c r="E155" s="66"/>
      <c r="F155" s="66"/>
      <c r="G155" s="66"/>
      <c r="H155" s="66"/>
      <c r="I155" s="66"/>
    </row>
  </sheetData>
  <mergeCells count="18">
    <mergeCell ref="E30:H32"/>
    <mergeCell ref="C44:C49"/>
    <mergeCell ref="C110:C112"/>
    <mergeCell ref="E51:V51"/>
    <mergeCell ref="G63:R64"/>
    <mergeCell ref="G76:Q82"/>
    <mergeCell ref="G87:O89"/>
    <mergeCell ref="G93:P95"/>
    <mergeCell ref="G97:O99"/>
    <mergeCell ref="G102:O104"/>
    <mergeCell ref="G71:R73"/>
    <mergeCell ref="B150:I155"/>
    <mergeCell ref="C116:K118"/>
    <mergeCell ref="D121:L123"/>
    <mergeCell ref="D126:I127"/>
    <mergeCell ref="D132:I135"/>
    <mergeCell ref="D139:I140"/>
    <mergeCell ref="D144:I14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7"/>
  <sheetViews>
    <sheetView topLeftCell="A70" workbookViewId="0">
      <selection activeCell="A98" sqref="A1:J98"/>
    </sheetView>
  </sheetViews>
  <sheetFormatPr baseColWidth="10" defaultRowHeight="13.2" x14ac:dyDescent="0.25"/>
  <cols>
    <col min="1" max="1" width="12.5546875" customWidth="1"/>
    <col min="2" max="2" width="22.5546875" customWidth="1"/>
  </cols>
  <sheetData>
    <row r="1" spans="1:10" ht="14.4" x14ac:dyDescent="0.3">
      <c r="A1" s="3" t="s">
        <v>201</v>
      </c>
      <c r="B1" s="3" t="s">
        <v>192</v>
      </c>
      <c r="C1" s="4" t="s">
        <v>193</v>
      </c>
      <c r="D1" s="4" t="s">
        <v>194</v>
      </c>
      <c r="E1" s="14" t="s">
        <v>195</v>
      </c>
      <c r="F1" s="4" t="s">
        <v>196</v>
      </c>
      <c r="G1" s="14" t="s">
        <v>197</v>
      </c>
      <c r="H1" s="4" t="s">
        <v>198</v>
      </c>
      <c r="I1" s="4" t="s">
        <v>199</v>
      </c>
      <c r="J1" s="4" t="s">
        <v>200</v>
      </c>
    </row>
    <row r="2" spans="1:10" ht="14.4" x14ac:dyDescent="0.3">
      <c r="A2" s="1" t="s">
        <v>0</v>
      </c>
      <c r="B2" s="2" t="s">
        <v>1</v>
      </c>
      <c r="C2" s="4">
        <v>4067</v>
      </c>
      <c r="D2" s="4">
        <v>16745</v>
      </c>
      <c r="E2" s="4">
        <v>36426</v>
      </c>
      <c r="F2" s="4">
        <v>70663</v>
      </c>
      <c r="G2" s="4">
        <v>77349</v>
      </c>
      <c r="H2" s="4">
        <v>78998</v>
      </c>
      <c r="I2" s="4">
        <v>30417</v>
      </c>
      <c r="J2" s="4">
        <v>29910</v>
      </c>
    </row>
    <row r="3" spans="1:10" ht="14.4" x14ac:dyDescent="0.3">
      <c r="A3" s="1" t="s">
        <v>2</v>
      </c>
      <c r="B3" s="2" t="s">
        <v>3</v>
      </c>
      <c r="C3" s="4">
        <v>5201</v>
      </c>
      <c r="D3" s="4">
        <v>11414</v>
      </c>
      <c r="E3" s="4">
        <v>18629</v>
      </c>
      <c r="F3" s="4">
        <v>48889</v>
      </c>
      <c r="G3" s="4">
        <v>71578</v>
      </c>
      <c r="H3" s="4">
        <v>78906</v>
      </c>
      <c r="I3" s="4">
        <v>32063</v>
      </c>
      <c r="J3" s="4">
        <v>42108</v>
      </c>
    </row>
    <row r="4" spans="1:10" ht="14.4" x14ac:dyDescent="0.3">
      <c r="A4" s="1" t="s">
        <v>4</v>
      </c>
      <c r="B4" s="2" t="s">
        <v>5</v>
      </c>
      <c r="C4" s="4">
        <v>6159</v>
      </c>
      <c r="D4" s="4">
        <v>9396</v>
      </c>
      <c r="E4" s="4">
        <v>11842</v>
      </c>
      <c r="F4" s="4">
        <v>31102</v>
      </c>
      <c r="G4" s="4">
        <v>46196</v>
      </c>
      <c r="H4" s="4">
        <v>42101</v>
      </c>
      <c r="I4" s="4">
        <v>24218</v>
      </c>
      <c r="J4" s="4">
        <v>21344</v>
      </c>
    </row>
    <row r="5" spans="1:10" ht="14.4" x14ac:dyDescent="0.3">
      <c r="A5" s="1" t="s">
        <v>6</v>
      </c>
      <c r="B5" s="2" t="s">
        <v>7</v>
      </c>
      <c r="C5" s="4">
        <v>2027</v>
      </c>
      <c r="D5" s="4">
        <v>6387</v>
      </c>
      <c r="E5" s="4">
        <v>6951</v>
      </c>
      <c r="F5" s="4">
        <v>16140</v>
      </c>
      <c r="G5" s="4">
        <v>20885</v>
      </c>
      <c r="H5" s="4">
        <v>15560</v>
      </c>
      <c r="I5" s="4">
        <v>10687</v>
      </c>
      <c r="J5" s="4">
        <v>10278</v>
      </c>
    </row>
    <row r="6" spans="1:10" ht="14.4" x14ac:dyDescent="0.3">
      <c r="A6" s="1" t="s">
        <v>8</v>
      </c>
      <c r="B6" s="2" t="s">
        <v>9</v>
      </c>
      <c r="C6" s="4">
        <v>2040</v>
      </c>
      <c r="D6" s="4">
        <v>5286</v>
      </c>
      <c r="E6" s="4">
        <v>5883</v>
      </c>
      <c r="F6" s="4">
        <v>15687</v>
      </c>
      <c r="G6" s="4">
        <v>19707</v>
      </c>
      <c r="H6" s="4">
        <v>12415</v>
      </c>
      <c r="I6" s="4">
        <v>8865</v>
      </c>
      <c r="J6" s="4">
        <v>7222</v>
      </c>
    </row>
    <row r="7" spans="1:10" ht="14.4" x14ac:dyDescent="0.3">
      <c r="A7" s="1" t="s">
        <v>10</v>
      </c>
      <c r="B7" s="2" t="s">
        <v>11</v>
      </c>
      <c r="C7" s="4">
        <v>1918</v>
      </c>
      <c r="D7" s="4">
        <v>39514</v>
      </c>
      <c r="E7" s="4">
        <v>73884</v>
      </c>
      <c r="F7" s="4">
        <v>117652</v>
      </c>
      <c r="G7" s="4">
        <v>160574</v>
      </c>
      <c r="H7" s="4">
        <v>87227</v>
      </c>
      <c r="I7" s="4">
        <v>54801</v>
      </c>
      <c r="J7" s="4">
        <v>68990</v>
      </c>
    </row>
    <row r="8" spans="1:10" ht="14.4" x14ac:dyDescent="0.3">
      <c r="A8" s="1" t="s">
        <v>12</v>
      </c>
      <c r="B8" s="2" t="s">
        <v>13</v>
      </c>
      <c r="C8" s="4">
        <v>4132</v>
      </c>
      <c r="D8" s="4">
        <v>10758</v>
      </c>
      <c r="E8" s="4">
        <v>12461</v>
      </c>
      <c r="F8" s="4">
        <v>31859</v>
      </c>
      <c r="G8" s="4">
        <v>39088</v>
      </c>
      <c r="H8" s="4">
        <v>37199</v>
      </c>
      <c r="I8" s="4">
        <v>21660</v>
      </c>
      <c r="J8" s="4">
        <v>19063</v>
      </c>
    </row>
    <row r="9" spans="1:10" ht="14.4" x14ac:dyDescent="0.3">
      <c r="A9" s="1" t="s">
        <v>14</v>
      </c>
      <c r="B9" s="2" t="s">
        <v>15</v>
      </c>
      <c r="C9" s="4">
        <v>3362</v>
      </c>
      <c r="D9" s="4">
        <v>6520</v>
      </c>
      <c r="E9" s="4">
        <v>9771</v>
      </c>
      <c r="F9" s="4">
        <v>25487</v>
      </c>
      <c r="G9" s="4">
        <v>36326</v>
      </c>
      <c r="H9" s="4">
        <v>42618</v>
      </c>
      <c r="I9" s="4">
        <v>16464</v>
      </c>
      <c r="J9" s="4">
        <v>23226</v>
      </c>
    </row>
    <row r="10" spans="1:10" ht="14.4" x14ac:dyDescent="0.3">
      <c r="A10" s="1" t="s">
        <v>16</v>
      </c>
      <c r="B10" s="2" t="s">
        <v>17</v>
      </c>
      <c r="C10" s="4">
        <v>2348</v>
      </c>
      <c r="D10" s="4">
        <v>4888</v>
      </c>
      <c r="E10" s="4">
        <v>5537</v>
      </c>
      <c r="F10" s="4">
        <v>14442</v>
      </c>
      <c r="G10" s="4">
        <v>20788</v>
      </c>
      <c r="H10" s="4">
        <v>16635</v>
      </c>
      <c r="I10" s="4">
        <v>10379</v>
      </c>
      <c r="J10" s="4">
        <v>9741</v>
      </c>
    </row>
    <row r="11" spans="1:10" ht="14.4" x14ac:dyDescent="0.3">
      <c r="A11" s="1" t="s">
        <v>18</v>
      </c>
      <c r="B11" s="2" t="s">
        <v>19</v>
      </c>
      <c r="C11" s="4">
        <v>4786</v>
      </c>
      <c r="D11" s="4">
        <v>7198</v>
      </c>
      <c r="E11" s="4">
        <v>12499</v>
      </c>
      <c r="F11" s="4">
        <v>28889</v>
      </c>
      <c r="G11" s="4">
        <v>40121</v>
      </c>
      <c r="H11" s="4">
        <v>43224</v>
      </c>
      <c r="I11" s="4">
        <v>18616</v>
      </c>
      <c r="J11" s="4">
        <v>18373</v>
      </c>
    </row>
    <row r="12" spans="1:10" ht="14.4" x14ac:dyDescent="0.3">
      <c r="A12" s="1" t="s">
        <v>20</v>
      </c>
      <c r="B12" s="2" t="s">
        <v>21</v>
      </c>
      <c r="C12" s="4">
        <v>5474</v>
      </c>
      <c r="D12" s="4">
        <v>12045</v>
      </c>
      <c r="E12" s="4">
        <v>13486</v>
      </c>
      <c r="F12" s="4">
        <v>31504</v>
      </c>
      <c r="G12" s="4">
        <v>47297</v>
      </c>
      <c r="H12" s="4">
        <v>34501</v>
      </c>
      <c r="I12" s="4">
        <v>25584</v>
      </c>
      <c r="J12" s="4">
        <v>25482</v>
      </c>
    </row>
    <row r="13" spans="1:10" ht="14.4" x14ac:dyDescent="0.3">
      <c r="A13" s="1" t="s">
        <v>22</v>
      </c>
      <c r="B13" s="2" t="s">
        <v>23</v>
      </c>
      <c r="C13" s="4">
        <v>11100</v>
      </c>
      <c r="D13" s="4">
        <v>10116</v>
      </c>
      <c r="E13" s="4">
        <v>9937</v>
      </c>
      <c r="F13" s="4">
        <v>25717</v>
      </c>
      <c r="G13" s="4">
        <v>33970</v>
      </c>
      <c r="H13" s="4">
        <v>29390</v>
      </c>
      <c r="I13" s="4">
        <v>18550</v>
      </c>
      <c r="J13" s="4">
        <v>13039</v>
      </c>
    </row>
    <row r="14" spans="1:10" ht="14.4" x14ac:dyDescent="0.3">
      <c r="A14" s="1" t="s">
        <v>24</v>
      </c>
      <c r="B14" s="2" t="s">
        <v>25</v>
      </c>
      <c r="C14" s="4">
        <v>4508</v>
      </c>
      <c r="D14" s="4">
        <v>52145</v>
      </c>
      <c r="E14" s="4">
        <v>135584</v>
      </c>
      <c r="F14" s="4">
        <v>225526</v>
      </c>
      <c r="G14" s="4">
        <v>268192</v>
      </c>
      <c r="H14" s="4">
        <v>168920</v>
      </c>
      <c r="I14" s="4">
        <v>100790</v>
      </c>
      <c r="J14" s="4">
        <v>155952</v>
      </c>
    </row>
    <row r="15" spans="1:10" ht="14.4" x14ac:dyDescent="0.3">
      <c r="A15" s="1" t="s">
        <v>26</v>
      </c>
      <c r="B15" s="2" t="s">
        <v>27</v>
      </c>
      <c r="C15" s="4">
        <v>6081</v>
      </c>
      <c r="D15" s="4">
        <v>18540</v>
      </c>
      <c r="E15" s="4">
        <v>36155</v>
      </c>
      <c r="F15" s="4">
        <v>72740</v>
      </c>
      <c r="G15" s="4">
        <v>94384</v>
      </c>
      <c r="H15" s="4">
        <v>82643</v>
      </c>
      <c r="I15" s="4">
        <v>41776</v>
      </c>
      <c r="J15" s="4">
        <v>34559</v>
      </c>
    </row>
    <row r="16" spans="1:10" ht="14.4" x14ac:dyDescent="0.3">
      <c r="A16" s="1" t="s">
        <v>28</v>
      </c>
      <c r="B16" s="2" t="s">
        <v>29</v>
      </c>
      <c r="C16" s="4">
        <v>7431</v>
      </c>
      <c r="D16" s="4">
        <v>4976</v>
      </c>
      <c r="E16" s="4">
        <v>4547</v>
      </c>
      <c r="F16" s="4">
        <v>12517</v>
      </c>
      <c r="G16" s="4">
        <v>19508</v>
      </c>
      <c r="H16" s="4">
        <v>17183</v>
      </c>
      <c r="I16" s="4">
        <v>10386</v>
      </c>
      <c r="J16" s="4">
        <v>7786</v>
      </c>
    </row>
    <row r="17" spans="1:10" ht="14.4" x14ac:dyDescent="0.3">
      <c r="A17" s="1" t="s">
        <v>30</v>
      </c>
      <c r="B17" s="2" t="s">
        <v>31</v>
      </c>
      <c r="C17" s="4">
        <v>5756</v>
      </c>
      <c r="D17" s="4">
        <v>10236</v>
      </c>
      <c r="E17" s="4">
        <v>14308</v>
      </c>
      <c r="F17" s="4">
        <v>32982</v>
      </c>
      <c r="G17" s="4">
        <v>46169</v>
      </c>
      <c r="H17" s="4">
        <v>46763</v>
      </c>
      <c r="I17" s="4">
        <v>24653</v>
      </c>
      <c r="J17" s="4">
        <v>20416</v>
      </c>
    </row>
    <row r="18" spans="1:10" ht="14.4" x14ac:dyDescent="0.3">
      <c r="A18" s="1" t="s">
        <v>32</v>
      </c>
      <c r="B18" s="2" t="s">
        <v>33</v>
      </c>
      <c r="C18" s="4">
        <v>9061</v>
      </c>
      <c r="D18" s="4">
        <v>21025</v>
      </c>
      <c r="E18" s="4">
        <v>24906</v>
      </c>
      <c r="F18" s="4">
        <v>57199</v>
      </c>
      <c r="G18" s="4">
        <v>84800</v>
      </c>
      <c r="H18" s="4">
        <v>65577</v>
      </c>
      <c r="I18" s="4">
        <v>46140</v>
      </c>
      <c r="J18" s="4">
        <v>35151</v>
      </c>
    </row>
    <row r="19" spans="1:10" ht="14.4" x14ac:dyDescent="0.3">
      <c r="A19" s="1" t="s">
        <v>34</v>
      </c>
      <c r="B19" s="2" t="s">
        <v>35</v>
      </c>
      <c r="C19" s="4">
        <v>4025</v>
      </c>
      <c r="D19" s="4">
        <v>8183</v>
      </c>
      <c r="E19" s="4">
        <v>12967</v>
      </c>
      <c r="F19" s="4">
        <v>29897</v>
      </c>
      <c r="G19" s="4">
        <v>42604</v>
      </c>
      <c r="H19" s="4">
        <v>39209</v>
      </c>
      <c r="I19" s="4">
        <v>22057</v>
      </c>
      <c r="J19" s="4">
        <v>18361</v>
      </c>
    </row>
    <row r="20" spans="1:10" ht="14.4" x14ac:dyDescent="0.3">
      <c r="A20" s="1" t="s">
        <v>36</v>
      </c>
      <c r="B20" s="2" t="s">
        <v>37</v>
      </c>
      <c r="C20" s="4">
        <v>4930</v>
      </c>
      <c r="D20" s="4">
        <v>7553</v>
      </c>
      <c r="E20" s="4">
        <v>9273</v>
      </c>
      <c r="F20" s="4">
        <v>23538</v>
      </c>
      <c r="G20" s="4">
        <v>33050</v>
      </c>
      <c r="H20" s="4">
        <v>28048</v>
      </c>
      <c r="I20" s="4">
        <v>16824</v>
      </c>
      <c r="J20" s="4">
        <v>12970</v>
      </c>
    </row>
    <row r="21" spans="1:10" ht="14.4" x14ac:dyDescent="0.3">
      <c r="A21" s="1" t="s">
        <v>38</v>
      </c>
      <c r="B21" s="2" t="s">
        <v>39</v>
      </c>
      <c r="C21" s="4">
        <v>5352</v>
      </c>
      <c r="D21" s="4">
        <v>13503</v>
      </c>
      <c r="E21" s="4">
        <v>32185</v>
      </c>
      <c r="F21" s="4">
        <v>62097</v>
      </c>
      <c r="G21" s="4">
        <v>71854</v>
      </c>
      <c r="H21" s="4">
        <v>61993</v>
      </c>
      <c r="I21" s="4">
        <v>30098</v>
      </c>
      <c r="J21" s="4">
        <v>23303</v>
      </c>
    </row>
    <row r="22" spans="1:10" ht="14.4" x14ac:dyDescent="0.3">
      <c r="A22" s="1" t="s">
        <v>40</v>
      </c>
      <c r="B22" s="2" t="s">
        <v>41</v>
      </c>
      <c r="C22" s="4">
        <v>12517</v>
      </c>
      <c r="D22" s="4">
        <v>17359</v>
      </c>
      <c r="E22" s="4">
        <v>24766</v>
      </c>
      <c r="F22" s="4">
        <v>54660</v>
      </c>
      <c r="G22" s="4">
        <v>70213</v>
      </c>
      <c r="H22" s="4">
        <v>68805</v>
      </c>
      <c r="I22" s="4">
        <v>43023</v>
      </c>
      <c r="J22" s="4">
        <v>29034</v>
      </c>
    </row>
    <row r="23" spans="1:10" ht="14.4" x14ac:dyDescent="0.3">
      <c r="A23" s="1" t="s">
        <v>42</v>
      </c>
      <c r="B23" s="2" t="s">
        <v>43</v>
      </c>
      <c r="C23" s="4">
        <v>5259</v>
      </c>
      <c r="D23" s="4">
        <v>3696</v>
      </c>
      <c r="E23" s="4">
        <v>3669</v>
      </c>
      <c r="F23" s="4">
        <v>9387</v>
      </c>
      <c r="G23" s="4">
        <v>16039</v>
      </c>
      <c r="H23" s="4">
        <v>12764</v>
      </c>
      <c r="I23" s="4">
        <v>9811</v>
      </c>
      <c r="J23" s="4">
        <v>6780</v>
      </c>
    </row>
    <row r="24" spans="1:10" ht="14.4" x14ac:dyDescent="0.3">
      <c r="A24" s="1" t="s">
        <v>44</v>
      </c>
      <c r="B24" s="2" t="s">
        <v>45</v>
      </c>
      <c r="C24" s="4">
        <v>7694</v>
      </c>
      <c r="D24" s="4">
        <v>15460</v>
      </c>
      <c r="E24" s="4">
        <v>14125</v>
      </c>
      <c r="F24" s="4">
        <v>34308</v>
      </c>
      <c r="G24" s="4">
        <v>54103</v>
      </c>
      <c r="H24" s="4">
        <v>47943</v>
      </c>
      <c r="I24" s="4">
        <v>31651</v>
      </c>
      <c r="J24" s="4">
        <v>24558</v>
      </c>
    </row>
    <row r="25" spans="1:10" ht="14.4" x14ac:dyDescent="0.3">
      <c r="A25" s="1" t="s">
        <v>46</v>
      </c>
      <c r="B25" s="2" t="s">
        <v>47</v>
      </c>
      <c r="C25" s="4">
        <v>4123</v>
      </c>
      <c r="D25" s="4">
        <v>12196</v>
      </c>
      <c r="E25" s="4">
        <v>29138</v>
      </c>
      <c r="F25" s="4">
        <v>57994</v>
      </c>
      <c r="G25" s="4">
        <v>65018</v>
      </c>
      <c r="H25" s="4">
        <v>77588</v>
      </c>
      <c r="I25" s="4">
        <v>28449</v>
      </c>
      <c r="J25" s="4">
        <v>27692</v>
      </c>
    </row>
    <row r="26" spans="1:10" ht="14.4" x14ac:dyDescent="0.3">
      <c r="A26" s="1" t="s">
        <v>48</v>
      </c>
      <c r="B26" s="2" t="s">
        <v>49</v>
      </c>
      <c r="C26" s="4">
        <v>6106</v>
      </c>
      <c r="D26" s="4">
        <v>14998</v>
      </c>
      <c r="E26" s="4">
        <v>23027</v>
      </c>
      <c r="F26" s="4">
        <v>52929</v>
      </c>
      <c r="G26" s="4">
        <v>59618</v>
      </c>
      <c r="H26" s="4">
        <v>57491</v>
      </c>
      <c r="I26" s="4">
        <v>28522</v>
      </c>
      <c r="J26" s="4">
        <v>30398</v>
      </c>
    </row>
    <row r="27" spans="1:10" ht="14.4" x14ac:dyDescent="0.3">
      <c r="A27" s="1" t="s">
        <v>50</v>
      </c>
      <c r="B27" s="2" t="s">
        <v>51</v>
      </c>
      <c r="C27" s="4">
        <v>4064</v>
      </c>
      <c r="D27" s="4">
        <v>14930</v>
      </c>
      <c r="E27" s="4">
        <v>28312</v>
      </c>
      <c r="F27" s="4">
        <v>62716</v>
      </c>
      <c r="G27" s="4">
        <v>74944</v>
      </c>
      <c r="H27" s="4">
        <v>85833</v>
      </c>
      <c r="I27" s="4">
        <v>34937</v>
      </c>
      <c r="J27" s="4">
        <v>33452</v>
      </c>
    </row>
    <row r="28" spans="1:10" ht="14.4" x14ac:dyDescent="0.3">
      <c r="A28" s="1" t="s">
        <v>52</v>
      </c>
      <c r="B28" s="2" t="s">
        <v>53</v>
      </c>
      <c r="C28" s="4">
        <v>3848</v>
      </c>
      <c r="D28" s="4">
        <v>10110</v>
      </c>
      <c r="E28" s="4">
        <v>22675</v>
      </c>
      <c r="F28" s="4">
        <v>47678</v>
      </c>
      <c r="G28" s="4">
        <v>58632</v>
      </c>
      <c r="H28" s="4">
        <v>57416</v>
      </c>
      <c r="I28" s="4">
        <v>25285</v>
      </c>
      <c r="J28" s="4">
        <v>22370</v>
      </c>
    </row>
    <row r="29" spans="1:10" ht="14.4" x14ac:dyDescent="0.3">
      <c r="A29" s="1" t="s">
        <v>54</v>
      </c>
      <c r="B29" s="2" t="s">
        <v>55</v>
      </c>
      <c r="C29" s="4">
        <v>11054</v>
      </c>
      <c r="D29" s="4">
        <v>23043</v>
      </c>
      <c r="E29" s="4">
        <v>46057</v>
      </c>
      <c r="F29" s="4">
        <v>94797</v>
      </c>
      <c r="G29" s="4">
        <v>116573</v>
      </c>
      <c r="H29" s="4">
        <v>101817</v>
      </c>
      <c r="I29" s="4">
        <v>59116</v>
      </c>
      <c r="J29" s="4">
        <v>46699</v>
      </c>
    </row>
    <row r="30" spans="1:10" ht="14.4" x14ac:dyDescent="0.3">
      <c r="A30" s="1" t="s">
        <v>56</v>
      </c>
      <c r="B30" s="2" t="s">
        <v>57</v>
      </c>
      <c r="C30" s="4">
        <v>961</v>
      </c>
      <c r="D30" s="4">
        <v>5713</v>
      </c>
      <c r="E30" s="4">
        <v>6022</v>
      </c>
      <c r="F30" s="4">
        <v>13559</v>
      </c>
      <c r="G30" s="4">
        <v>21947</v>
      </c>
      <c r="H30" s="4">
        <v>12667</v>
      </c>
      <c r="I30" s="4">
        <v>7775</v>
      </c>
      <c r="J30" s="4">
        <v>13129</v>
      </c>
    </row>
    <row r="31" spans="1:10" ht="14.4" x14ac:dyDescent="0.3">
      <c r="A31" s="1" t="s">
        <v>58</v>
      </c>
      <c r="B31" s="2" t="s">
        <v>59</v>
      </c>
      <c r="C31" s="4">
        <v>1690</v>
      </c>
      <c r="D31" s="4">
        <v>6641</v>
      </c>
      <c r="E31" s="4">
        <v>6564</v>
      </c>
      <c r="F31" s="4">
        <v>14095</v>
      </c>
      <c r="G31" s="4">
        <v>23988</v>
      </c>
      <c r="H31" s="4">
        <v>14894</v>
      </c>
      <c r="I31" s="4">
        <v>9132</v>
      </c>
      <c r="J31" s="4">
        <v>17518</v>
      </c>
    </row>
    <row r="32" spans="1:10" ht="14.4" x14ac:dyDescent="0.3">
      <c r="A32" s="1" t="s">
        <v>60</v>
      </c>
      <c r="B32" s="2" t="s">
        <v>61</v>
      </c>
      <c r="C32" s="4">
        <v>5512</v>
      </c>
      <c r="D32" s="4">
        <v>24259</v>
      </c>
      <c r="E32" s="4">
        <v>33087</v>
      </c>
      <c r="F32" s="4">
        <v>72732</v>
      </c>
      <c r="G32" s="4">
        <v>92908</v>
      </c>
      <c r="H32" s="4">
        <v>70703</v>
      </c>
      <c r="I32" s="4">
        <v>42619</v>
      </c>
      <c r="J32" s="4">
        <v>52901</v>
      </c>
    </row>
    <row r="33" spans="1:10" ht="14.4" x14ac:dyDescent="0.3">
      <c r="A33" s="1" t="s">
        <v>62</v>
      </c>
      <c r="B33" s="2" t="s">
        <v>63</v>
      </c>
      <c r="C33" s="4">
        <v>4702</v>
      </c>
      <c r="D33" s="4">
        <v>32086</v>
      </c>
      <c r="E33" s="4">
        <v>128841</v>
      </c>
      <c r="F33" s="4">
        <v>164672</v>
      </c>
      <c r="G33" s="4">
        <v>162558</v>
      </c>
      <c r="H33" s="4">
        <v>101756</v>
      </c>
      <c r="I33" s="4">
        <v>56477</v>
      </c>
      <c r="J33" s="4">
        <v>59378</v>
      </c>
    </row>
    <row r="34" spans="1:10" ht="14.4" x14ac:dyDescent="0.3">
      <c r="A34" s="1" t="s">
        <v>64</v>
      </c>
      <c r="B34" s="2" t="s">
        <v>65</v>
      </c>
      <c r="C34" s="4">
        <v>7235</v>
      </c>
      <c r="D34" s="4">
        <v>6491</v>
      </c>
      <c r="E34" s="4">
        <v>7732</v>
      </c>
      <c r="F34" s="4">
        <v>17150</v>
      </c>
      <c r="G34" s="4">
        <v>22956</v>
      </c>
      <c r="H34" s="4">
        <v>19043</v>
      </c>
      <c r="I34" s="4">
        <v>12722</v>
      </c>
      <c r="J34" s="4">
        <v>9512</v>
      </c>
    </row>
    <row r="35" spans="1:10" ht="14.4" x14ac:dyDescent="0.3">
      <c r="A35" s="1" t="s">
        <v>66</v>
      </c>
      <c r="B35" s="2" t="s">
        <v>67</v>
      </c>
      <c r="C35" s="4">
        <v>9389</v>
      </c>
      <c r="D35" s="4">
        <v>39895</v>
      </c>
      <c r="E35" s="4">
        <v>99621</v>
      </c>
      <c r="F35" s="4">
        <v>166936</v>
      </c>
      <c r="G35" s="4">
        <v>202658</v>
      </c>
      <c r="H35" s="4">
        <v>148351</v>
      </c>
      <c r="I35" s="4">
        <v>78907</v>
      </c>
      <c r="J35" s="4">
        <v>78128</v>
      </c>
    </row>
    <row r="36" spans="1:10" ht="14.4" x14ac:dyDescent="0.3">
      <c r="A36" s="1" t="s">
        <v>68</v>
      </c>
      <c r="B36" s="2" t="s">
        <v>69</v>
      </c>
      <c r="C36" s="4">
        <v>7322</v>
      </c>
      <c r="D36" s="4">
        <v>33221</v>
      </c>
      <c r="E36" s="4">
        <v>65327</v>
      </c>
      <c r="F36" s="4">
        <v>110491</v>
      </c>
      <c r="G36" s="4">
        <v>136295</v>
      </c>
      <c r="H36" s="4">
        <v>84697</v>
      </c>
      <c r="I36" s="4">
        <v>60066</v>
      </c>
      <c r="J36" s="4">
        <v>71805</v>
      </c>
    </row>
    <row r="37" spans="1:10" ht="14.4" x14ac:dyDescent="0.3">
      <c r="A37" s="1" t="s">
        <v>70</v>
      </c>
      <c r="B37" s="2" t="s">
        <v>71</v>
      </c>
      <c r="C37" s="4">
        <v>12050</v>
      </c>
      <c r="D37" s="4">
        <v>23440</v>
      </c>
      <c r="E37" s="4">
        <v>68615</v>
      </c>
      <c r="F37" s="4">
        <v>111614</v>
      </c>
      <c r="G37" s="4">
        <v>127534</v>
      </c>
      <c r="H37" s="4">
        <v>114237</v>
      </c>
      <c r="I37" s="4">
        <v>52549</v>
      </c>
      <c r="J37" s="4">
        <v>39050</v>
      </c>
    </row>
    <row r="38" spans="1:10" ht="14.4" x14ac:dyDescent="0.3">
      <c r="A38" s="1" t="s">
        <v>72</v>
      </c>
      <c r="B38" s="2" t="s">
        <v>73</v>
      </c>
      <c r="C38" s="4">
        <v>4325</v>
      </c>
      <c r="D38" s="4">
        <v>5867</v>
      </c>
      <c r="E38" s="4">
        <v>7796</v>
      </c>
      <c r="F38" s="4">
        <v>18947</v>
      </c>
      <c r="G38" s="4">
        <v>32400</v>
      </c>
      <c r="H38" s="4">
        <v>30469</v>
      </c>
      <c r="I38" s="4">
        <v>17048</v>
      </c>
      <c r="J38" s="4">
        <v>12831</v>
      </c>
    </row>
    <row r="39" spans="1:10" ht="14.4" x14ac:dyDescent="0.3">
      <c r="A39" s="1" t="s">
        <v>74</v>
      </c>
      <c r="B39" s="2" t="s">
        <v>75</v>
      </c>
      <c r="C39" s="4">
        <v>4719</v>
      </c>
      <c r="D39" s="4">
        <v>14605</v>
      </c>
      <c r="E39" s="4">
        <v>34943</v>
      </c>
      <c r="F39" s="4">
        <v>68613</v>
      </c>
      <c r="G39" s="4">
        <v>80225</v>
      </c>
      <c r="H39" s="4">
        <v>67018</v>
      </c>
      <c r="I39" s="4">
        <v>34800</v>
      </c>
      <c r="J39" s="4">
        <v>26677</v>
      </c>
    </row>
    <row r="40" spans="1:10" ht="14.4" x14ac:dyDescent="0.3">
      <c r="A40" s="1" t="s">
        <v>76</v>
      </c>
      <c r="B40" s="2" t="s">
        <v>77</v>
      </c>
      <c r="C40" s="4">
        <v>5082</v>
      </c>
      <c r="D40" s="4">
        <v>32509</v>
      </c>
      <c r="E40" s="4">
        <v>95061</v>
      </c>
      <c r="F40" s="4">
        <v>147665</v>
      </c>
      <c r="G40" s="4">
        <v>150018</v>
      </c>
      <c r="H40" s="4">
        <v>132086</v>
      </c>
      <c r="I40" s="4">
        <v>61170</v>
      </c>
      <c r="J40" s="4">
        <v>63762</v>
      </c>
    </row>
    <row r="41" spans="1:10" ht="14.4" x14ac:dyDescent="0.3">
      <c r="A41" s="1" t="s">
        <v>78</v>
      </c>
      <c r="B41" s="2" t="s">
        <v>79</v>
      </c>
      <c r="C41" s="4">
        <v>2915</v>
      </c>
      <c r="D41" s="4">
        <v>7213</v>
      </c>
      <c r="E41" s="4">
        <v>10366</v>
      </c>
      <c r="F41" s="4">
        <v>26641</v>
      </c>
      <c r="G41" s="4">
        <v>31904</v>
      </c>
      <c r="H41" s="4">
        <v>39453</v>
      </c>
      <c r="I41" s="4">
        <v>16042</v>
      </c>
      <c r="J41" s="4">
        <v>13509</v>
      </c>
    </row>
    <row r="42" spans="1:10" ht="14.4" x14ac:dyDescent="0.3">
      <c r="A42" s="1" t="s">
        <v>80</v>
      </c>
      <c r="B42" s="2" t="s">
        <v>81</v>
      </c>
      <c r="C42" s="4">
        <v>4888</v>
      </c>
      <c r="D42" s="4">
        <v>12443</v>
      </c>
      <c r="E42" s="4">
        <v>15090</v>
      </c>
      <c r="F42" s="4">
        <v>36886</v>
      </c>
      <c r="G42" s="4">
        <v>51782</v>
      </c>
      <c r="H42" s="4">
        <v>45906</v>
      </c>
      <c r="I42" s="4">
        <v>26987</v>
      </c>
      <c r="J42" s="4">
        <v>20698</v>
      </c>
    </row>
    <row r="43" spans="1:10" ht="14.4" x14ac:dyDescent="0.3">
      <c r="A43" s="1" t="s">
        <v>82</v>
      </c>
      <c r="B43" s="2" t="s">
        <v>83</v>
      </c>
      <c r="C43" s="4">
        <v>3587</v>
      </c>
      <c r="D43" s="4">
        <v>8775</v>
      </c>
      <c r="E43" s="4">
        <v>14272</v>
      </c>
      <c r="F43" s="4">
        <v>31680</v>
      </c>
      <c r="G43" s="4">
        <v>43030</v>
      </c>
      <c r="H43" s="4">
        <v>44484</v>
      </c>
      <c r="I43" s="4">
        <v>21905</v>
      </c>
      <c r="J43" s="4">
        <v>16352</v>
      </c>
    </row>
    <row r="44" spans="1:10" ht="14.4" x14ac:dyDescent="0.3">
      <c r="A44" s="1" t="s">
        <v>84</v>
      </c>
      <c r="B44" s="2" t="s">
        <v>85</v>
      </c>
      <c r="C44" s="4">
        <v>5677</v>
      </c>
      <c r="D44" s="4">
        <v>20868</v>
      </c>
      <c r="E44" s="4">
        <v>33081</v>
      </c>
      <c r="F44" s="4">
        <v>77386</v>
      </c>
      <c r="G44" s="4">
        <v>93582</v>
      </c>
      <c r="H44" s="4">
        <v>95544</v>
      </c>
      <c r="I44" s="4">
        <v>46077</v>
      </c>
      <c r="J44" s="4">
        <v>44382</v>
      </c>
    </row>
    <row r="45" spans="1:10" ht="14.4" x14ac:dyDescent="0.3">
      <c r="A45" s="1" t="s">
        <v>86</v>
      </c>
      <c r="B45" s="2" t="s">
        <v>87</v>
      </c>
      <c r="C45" s="4">
        <v>5679</v>
      </c>
      <c r="D45" s="4">
        <v>7694</v>
      </c>
      <c r="E45" s="4">
        <v>7408</v>
      </c>
      <c r="F45" s="4">
        <v>21095</v>
      </c>
      <c r="G45" s="4">
        <v>27245</v>
      </c>
      <c r="H45" s="4">
        <v>29227</v>
      </c>
      <c r="I45" s="4">
        <v>15193</v>
      </c>
      <c r="J45" s="4">
        <v>11651</v>
      </c>
    </row>
    <row r="46" spans="1:10" ht="14.4" x14ac:dyDescent="0.3">
      <c r="A46" s="1" t="s">
        <v>88</v>
      </c>
      <c r="B46" s="2" t="s">
        <v>89</v>
      </c>
      <c r="C46" s="4">
        <v>9271</v>
      </c>
      <c r="D46" s="4">
        <v>31038</v>
      </c>
      <c r="E46" s="4">
        <v>87894</v>
      </c>
      <c r="F46" s="4">
        <v>152109</v>
      </c>
      <c r="G46" s="4">
        <v>167985</v>
      </c>
      <c r="H46" s="4">
        <v>142435</v>
      </c>
      <c r="I46" s="4">
        <v>72559</v>
      </c>
      <c r="J46" s="4">
        <v>59759</v>
      </c>
    </row>
    <row r="47" spans="1:10" ht="14.4" x14ac:dyDescent="0.3">
      <c r="A47" s="1" t="s">
        <v>90</v>
      </c>
      <c r="B47" s="2" t="s">
        <v>91</v>
      </c>
      <c r="C47" s="4">
        <v>4023</v>
      </c>
      <c r="D47" s="4">
        <v>13933</v>
      </c>
      <c r="E47" s="4">
        <v>41502</v>
      </c>
      <c r="F47" s="4">
        <v>76756</v>
      </c>
      <c r="G47" s="4">
        <v>86927</v>
      </c>
      <c r="H47" s="4">
        <v>83297</v>
      </c>
      <c r="I47" s="4">
        <v>38209</v>
      </c>
      <c r="J47" s="4">
        <v>32570</v>
      </c>
    </row>
    <row r="48" spans="1:10" ht="14.4" x14ac:dyDescent="0.3">
      <c r="A48" s="1" t="s">
        <v>92</v>
      </c>
      <c r="B48" s="2" t="s">
        <v>93</v>
      </c>
      <c r="C48" s="4">
        <v>4496</v>
      </c>
      <c r="D48" s="4">
        <v>6922</v>
      </c>
      <c r="E48" s="4">
        <v>7215</v>
      </c>
      <c r="F48" s="4">
        <v>15769</v>
      </c>
      <c r="G48" s="4">
        <v>21225</v>
      </c>
      <c r="H48" s="4">
        <v>17683</v>
      </c>
      <c r="I48" s="4">
        <v>13173</v>
      </c>
      <c r="J48" s="4">
        <v>8920</v>
      </c>
    </row>
    <row r="49" spans="1:10" ht="14.4" x14ac:dyDescent="0.3">
      <c r="A49" s="1" t="s">
        <v>94</v>
      </c>
      <c r="B49" s="2" t="s">
        <v>95</v>
      </c>
      <c r="C49" s="4">
        <v>6571</v>
      </c>
      <c r="D49" s="4">
        <v>10469</v>
      </c>
      <c r="E49" s="4">
        <v>11632</v>
      </c>
      <c r="F49" s="4">
        <v>30237</v>
      </c>
      <c r="G49" s="4">
        <v>41768</v>
      </c>
      <c r="H49" s="4">
        <v>39642</v>
      </c>
      <c r="I49" s="4">
        <v>22399</v>
      </c>
      <c r="J49" s="4">
        <v>19709</v>
      </c>
    </row>
    <row r="50" spans="1:10" ht="14.4" x14ac:dyDescent="0.3">
      <c r="A50" s="1" t="s">
        <v>96</v>
      </c>
      <c r="B50" s="2" t="s">
        <v>97</v>
      </c>
      <c r="C50" s="4">
        <v>3381</v>
      </c>
      <c r="D50" s="4">
        <v>2706</v>
      </c>
      <c r="E50" s="4">
        <v>2670</v>
      </c>
      <c r="F50" s="4">
        <v>7431</v>
      </c>
      <c r="G50" s="4">
        <v>10310</v>
      </c>
      <c r="H50" s="4">
        <v>7209</v>
      </c>
      <c r="I50" s="4">
        <v>5195</v>
      </c>
      <c r="J50" s="4">
        <v>4535</v>
      </c>
    </row>
    <row r="51" spans="1:10" ht="14.4" x14ac:dyDescent="0.3">
      <c r="A51" s="1" t="s">
        <v>98</v>
      </c>
      <c r="B51" s="2" t="s">
        <v>99</v>
      </c>
      <c r="C51" s="4">
        <v>10644</v>
      </c>
      <c r="D51" s="4">
        <v>18688</v>
      </c>
      <c r="E51" s="4">
        <v>38953</v>
      </c>
      <c r="F51" s="4">
        <v>82877</v>
      </c>
      <c r="G51" s="4">
        <v>98405</v>
      </c>
      <c r="H51" s="4">
        <v>109536</v>
      </c>
      <c r="I51" s="4">
        <v>45177</v>
      </c>
      <c r="J51" s="4">
        <v>33199</v>
      </c>
    </row>
    <row r="52" spans="1:10" ht="14.4" x14ac:dyDescent="0.3">
      <c r="A52" s="1" t="s">
        <v>100</v>
      </c>
      <c r="B52" s="2" t="s">
        <v>101</v>
      </c>
      <c r="C52" s="4">
        <v>10290</v>
      </c>
      <c r="D52" s="4">
        <v>13937</v>
      </c>
      <c r="E52" s="4">
        <v>17548</v>
      </c>
      <c r="F52" s="4">
        <v>46857</v>
      </c>
      <c r="G52" s="4">
        <v>65142</v>
      </c>
      <c r="H52" s="4">
        <v>63709</v>
      </c>
      <c r="I52" s="4">
        <v>35135</v>
      </c>
      <c r="J52" s="4">
        <v>26470</v>
      </c>
    </row>
    <row r="53" spans="1:10" ht="14.4" x14ac:dyDescent="0.3">
      <c r="A53" s="1" t="s">
        <v>102</v>
      </c>
      <c r="B53" s="2" t="s">
        <v>103</v>
      </c>
      <c r="C53" s="4">
        <v>10382</v>
      </c>
      <c r="D53" s="4">
        <v>12055</v>
      </c>
      <c r="E53" s="4">
        <v>30888</v>
      </c>
      <c r="F53" s="4">
        <v>60249</v>
      </c>
      <c r="G53" s="4">
        <v>77822</v>
      </c>
      <c r="H53" s="4">
        <v>74878</v>
      </c>
      <c r="I53" s="4">
        <v>31421</v>
      </c>
      <c r="J53" s="4">
        <v>32271</v>
      </c>
    </row>
    <row r="54" spans="1:10" ht="14.4" x14ac:dyDescent="0.3">
      <c r="A54" s="1" t="s">
        <v>104</v>
      </c>
      <c r="B54" s="2" t="s">
        <v>105</v>
      </c>
      <c r="C54" s="4">
        <v>2906</v>
      </c>
      <c r="D54" s="4">
        <v>3992</v>
      </c>
      <c r="E54" s="4">
        <v>6189</v>
      </c>
      <c r="F54" s="4">
        <v>15649</v>
      </c>
      <c r="G54" s="4">
        <v>25408</v>
      </c>
      <c r="H54" s="4">
        <v>28336</v>
      </c>
      <c r="I54" s="4">
        <v>12475</v>
      </c>
      <c r="J54" s="4">
        <v>12176</v>
      </c>
    </row>
    <row r="55" spans="1:10" ht="14.4" x14ac:dyDescent="0.3">
      <c r="A55" s="1" t="s">
        <v>106</v>
      </c>
      <c r="B55" s="2" t="s">
        <v>107</v>
      </c>
      <c r="C55" s="4">
        <v>9272</v>
      </c>
      <c r="D55" s="4">
        <v>7390</v>
      </c>
      <c r="E55" s="4">
        <v>11140</v>
      </c>
      <c r="F55" s="4">
        <v>28297</v>
      </c>
      <c r="G55" s="4">
        <v>37093</v>
      </c>
      <c r="H55" s="4">
        <v>45778</v>
      </c>
      <c r="I55" s="4">
        <v>19103</v>
      </c>
      <c r="J55" s="4">
        <v>11335</v>
      </c>
    </row>
    <row r="56" spans="1:10" ht="14.4" x14ac:dyDescent="0.3">
      <c r="A56" s="1" t="s">
        <v>108</v>
      </c>
      <c r="B56" s="2" t="s">
        <v>109</v>
      </c>
      <c r="C56" s="4">
        <v>2939</v>
      </c>
      <c r="D56" s="4">
        <v>14024</v>
      </c>
      <c r="E56" s="4">
        <v>43936</v>
      </c>
      <c r="F56" s="4">
        <v>82956</v>
      </c>
      <c r="G56" s="4">
        <v>104491</v>
      </c>
      <c r="H56" s="4">
        <v>85428</v>
      </c>
      <c r="I56" s="4">
        <v>39650</v>
      </c>
      <c r="J56" s="4">
        <v>43804</v>
      </c>
    </row>
    <row r="57" spans="1:10" ht="14.4" x14ac:dyDescent="0.3">
      <c r="A57" s="1" t="s">
        <v>110</v>
      </c>
      <c r="B57" s="2" t="s">
        <v>111</v>
      </c>
      <c r="C57" s="4">
        <v>3537</v>
      </c>
      <c r="D57" s="4">
        <v>4305</v>
      </c>
      <c r="E57" s="4">
        <v>6511</v>
      </c>
      <c r="F57" s="4">
        <v>16805</v>
      </c>
      <c r="G57" s="4">
        <v>27986</v>
      </c>
      <c r="H57" s="4">
        <v>28084</v>
      </c>
      <c r="I57" s="4">
        <v>12004</v>
      </c>
      <c r="J57" s="4">
        <v>13552</v>
      </c>
    </row>
    <row r="58" spans="1:10" ht="14.4" x14ac:dyDescent="0.3">
      <c r="A58" s="1" t="s">
        <v>112</v>
      </c>
      <c r="B58" s="2" t="s">
        <v>113</v>
      </c>
      <c r="C58" s="4">
        <v>10138</v>
      </c>
      <c r="D58" s="4">
        <v>21639</v>
      </c>
      <c r="E58" s="4">
        <v>30965</v>
      </c>
      <c r="F58" s="4">
        <v>70885</v>
      </c>
      <c r="G58" s="4">
        <v>89449</v>
      </c>
      <c r="H58" s="4">
        <v>88711</v>
      </c>
      <c r="I58" s="4">
        <v>51207</v>
      </c>
      <c r="J58" s="4">
        <v>38307</v>
      </c>
    </row>
    <row r="59" spans="1:10" ht="14.4" x14ac:dyDescent="0.3">
      <c r="A59" s="1" t="s">
        <v>114</v>
      </c>
      <c r="B59" s="2" t="s">
        <v>115</v>
      </c>
      <c r="C59" s="4">
        <v>3217</v>
      </c>
      <c r="D59" s="4">
        <v>19618</v>
      </c>
      <c r="E59" s="4">
        <v>52548</v>
      </c>
      <c r="F59" s="4">
        <v>110312</v>
      </c>
      <c r="G59" s="4">
        <v>152401</v>
      </c>
      <c r="H59" s="4">
        <v>143329</v>
      </c>
      <c r="I59" s="4">
        <v>59341</v>
      </c>
      <c r="J59" s="4">
        <v>79441</v>
      </c>
    </row>
    <row r="60" spans="1:10" ht="14.4" x14ac:dyDescent="0.3">
      <c r="A60" s="1" t="s">
        <v>116</v>
      </c>
      <c r="B60" s="2" t="s">
        <v>117</v>
      </c>
      <c r="C60" s="4">
        <v>3793</v>
      </c>
      <c r="D60" s="4">
        <v>5644</v>
      </c>
      <c r="E60" s="4">
        <v>7655</v>
      </c>
      <c r="F60" s="4">
        <v>18426</v>
      </c>
      <c r="G60" s="4">
        <v>28473</v>
      </c>
      <c r="H60" s="4">
        <v>27257</v>
      </c>
      <c r="I60" s="4">
        <v>16930</v>
      </c>
      <c r="J60" s="4">
        <v>14567</v>
      </c>
    </row>
    <row r="61" spans="1:10" ht="14.4" x14ac:dyDescent="0.3">
      <c r="A61" s="1" t="s">
        <v>118</v>
      </c>
      <c r="B61" s="2" t="s">
        <v>119</v>
      </c>
      <c r="C61" s="4">
        <v>7763</v>
      </c>
      <c r="D61" s="4">
        <v>45594</v>
      </c>
      <c r="E61" s="4">
        <v>147874</v>
      </c>
      <c r="F61" s="4">
        <v>273832</v>
      </c>
      <c r="G61" s="4">
        <v>329242</v>
      </c>
      <c r="H61" s="4">
        <v>319098</v>
      </c>
      <c r="I61" s="4">
        <v>135770</v>
      </c>
      <c r="J61" s="4">
        <v>199332</v>
      </c>
    </row>
    <row r="62" spans="1:10" ht="14.4" x14ac:dyDescent="0.3">
      <c r="A62" s="1" t="s">
        <v>120</v>
      </c>
      <c r="B62" s="2" t="s">
        <v>121</v>
      </c>
      <c r="C62" s="4">
        <v>3549</v>
      </c>
      <c r="D62" s="4">
        <v>17567</v>
      </c>
      <c r="E62" s="4">
        <v>46129</v>
      </c>
      <c r="F62" s="4">
        <v>94535</v>
      </c>
      <c r="G62" s="4">
        <v>112507</v>
      </c>
      <c r="H62" s="4">
        <v>107646</v>
      </c>
      <c r="I62" s="4">
        <v>43309</v>
      </c>
      <c r="J62" s="4">
        <v>52406</v>
      </c>
    </row>
    <row r="63" spans="1:10" ht="14.4" x14ac:dyDescent="0.3">
      <c r="A63" s="1" t="s">
        <v>122</v>
      </c>
      <c r="B63" s="2" t="s">
        <v>123</v>
      </c>
      <c r="C63" s="4">
        <v>6004</v>
      </c>
      <c r="D63" s="4">
        <v>8663</v>
      </c>
      <c r="E63" s="4">
        <v>9325</v>
      </c>
      <c r="F63" s="4">
        <v>25164</v>
      </c>
      <c r="G63" s="4">
        <v>35188</v>
      </c>
      <c r="H63" s="4">
        <v>42425</v>
      </c>
      <c r="I63" s="4">
        <v>20505</v>
      </c>
      <c r="J63" s="4">
        <v>16370</v>
      </c>
    </row>
    <row r="64" spans="1:10" ht="14.4" x14ac:dyDescent="0.3">
      <c r="A64" s="1" t="s">
        <v>124</v>
      </c>
      <c r="B64" s="2" t="s">
        <v>125</v>
      </c>
      <c r="C64" s="4">
        <v>8471</v>
      </c>
      <c r="D64" s="4">
        <v>27547</v>
      </c>
      <c r="E64" s="4">
        <v>50593</v>
      </c>
      <c r="F64" s="4">
        <v>137108</v>
      </c>
      <c r="G64" s="4">
        <v>194523</v>
      </c>
      <c r="H64" s="4">
        <v>198417</v>
      </c>
      <c r="I64" s="4">
        <v>86582</v>
      </c>
      <c r="J64" s="4">
        <v>130710</v>
      </c>
    </row>
    <row r="65" spans="1:10" ht="14.4" x14ac:dyDescent="0.3">
      <c r="A65" s="1" t="s">
        <v>126</v>
      </c>
      <c r="B65" s="2" t="s">
        <v>127</v>
      </c>
      <c r="C65" s="4">
        <v>7452</v>
      </c>
      <c r="D65" s="4">
        <v>16718</v>
      </c>
      <c r="E65" s="4">
        <v>36712</v>
      </c>
      <c r="F65" s="4">
        <v>69972</v>
      </c>
      <c r="G65" s="4">
        <v>85955</v>
      </c>
      <c r="H65" s="4">
        <v>72869</v>
      </c>
      <c r="I65" s="4">
        <v>40688</v>
      </c>
      <c r="J65" s="4">
        <v>34123</v>
      </c>
    </row>
    <row r="66" spans="1:10" ht="14.4" x14ac:dyDescent="0.3">
      <c r="A66" s="1" t="s">
        <v>128</v>
      </c>
      <c r="B66" s="2" t="s">
        <v>129</v>
      </c>
      <c r="C66" s="4">
        <v>9436</v>
      </c>
      <c r="D66" s="4">
        <v>20341</v>
      </c>
      <c r="E66" s="4">
        <v>34672</v>
      </c>
      <c r="F66" s="4">
        <v>70374</v>
      </c>
      <c r="G66" s="4">
        <v>88833</v>
      </c>
      <c r="H66" s="4">
        <v>66286</v>
      </c>
      <c r="I66" s="4">
        <v>39619</v>
      </c>
      <c r="J66" s="4">
        <v>36450</v>
      </c>
    </row>
    <row r="67" spans="1:10" ht="14.4" x14ac:dyDescent="0.3">
      <c r="A67" s="1" t="s">
        <v>130</v>
      </c>
      <c r="B67" s="2" t="s">
        <v>131</v>
      </c>
      <c r="C67" s="4">
        <v>3191</v>
      </c>
      <c r="D67" s="4">
        <v>7384</v>
      </c>
      <c r="E67" s="4">
        <v>9130</v>
      </c>
      <c r="F67" s="4">
        <v>22614</v>
      </c>
      <c r="G67" s="4">
        <v>33780</v>
      </c>
      <c r="H67" s="4">
        <v>23234</v>
      </c>
      <c r="I67" s="4">
        <v>15729</v>
      </c>
      <c r="J67" s="4">
        <v>13125</v>
      </c>
    </row>
    <row r="68" spans="1:10" ht="14.4" x14ac:dyDescent="0.3">
      <c r="A68" s="1" t="s">
        <v>132</v>
      </c>
      <c r="B68" s="2" t="s">
        <v>133</v>
      </c>
      <c r="C68" s="4">
        <v>3554</v>
      </c>
      <c r="D68" s="4">
        <v>15590</v>
      </c>
      <c r="E68" s="4">
        <v>17339</v>
      </c>
      <c r="F68" s="4">
        <v>40690</v>
      </c>
      <c r="G68" s="4">
        <v>58918</v>
      </c>
      <c r="H68" s="4">
        <v>41351</v>
      </c>
      <c r="I68" s="4">
        <v>30880</v>
      </c>
      <c r="J68" s="4">
        <v>34742</v>
      </c>
    </row>
    <row r="69" spans="1:10" ht="14.4" x14ac:dyDescent="0.3">
      <c r="A69" s="1" t="s">
        <v>134</v>
      </c>
      <c r="B69" s="2" t="s">
        <v>135</v>
      </c>
      <c r="C69" s="4">
        <v>3851</v>
      </c>
      <c r="D69" s="4">
        <v>23716</v>
      </c>
      <c r="E69" s="4">
        <v>77663</v>
      </c>
      <c r="F69" s="4">
        <v>128262</v>
      </c>
      <c r="G69" s="4">
        <v>146259</v>
      </c>
      <c r="H69" s="4">
        <v>151916</v>
      </c>
      <c r="I69" s="4">
        <v>56280</v>
      </c>
      <c r="J69" s="4">
        <v>60082</v>
      </c>
    </row>
    <row r="70" spans="1:10" ht="14.4" x14ac:dyDescent="0.3">
      <c r="A70" s="1" t="s">
        <v>136</v>
      </c>
      <c r="B70" s="2" t="s">
        <v>137</v>
      </c>
      <c r="C70" s="4">
        <v>3196</v>
      </c>
      <c r="D70" s="4">
        <v>16258</v>
      </c>
      <c r="E70" s="4">
        <v>40206</v>
      </c>
      <c r="F70" s="4">
        <v>85008</v>
      </c>
      <c r="G70" s="4">
        <v>100636</v>
      </c>
      <c r="H70" s="4">
        <v>111814</v>
      </c>
      <c r="I70" s="4">
        <v>40068</v>
      </c>
      <c r="J70" s="4">
        <v>47322</v>
      </c>
    </row>
    <row r="71" spans="1:10" ht="14.4" x14ac:dyDescent="0.3">
      <c r="A71" s="1" t="s">
        <v>138</v>
      </c>
      <c r="B71" s="2" t="s">
        <v>139</v>
      </c>
      <c r="C71" s="4">
        <v>6642</v>
      </c>
      <c r="D71" s="4">
        <v>42359</v>
      </c>
      <c r="E71" s="4">
        <v>156210</v>
      </c>
      <c r="F71" s="4">
        <v>216844</v>
      </c>
      <c r="G71" s="4">
        <v>217093</v>
      </c>
      <c r="H71" s="4">
        <v>157509</v>
      </c>
      <c r="I71" s="4">
        <v>76906</v>
      </c>
      <c r="J71" s="4">
        <v>89749</v>
      </c>
    </row>
    <row r="72" spans="1:10" ht="14.4" x14ac:dyDescent="0.3">
      <c r="A72" s="1" t="s">
        <v>140</v>
      </c>
      <c r="B72" s="2" t="s">
        <v>141</v>
      </c>
      <c r="C72" s="4">
        <v>3039</v>
      </c>
      <c r="D72" s="4">
        <v>6087</v>
      </c>
      <c r="E72" s="4">
        <v>8482</v>
      </c>
      <c r="F72" s="4">
        <v>22573</v>
      </c>
      <c r="G72" s="4">
        <v>30447</v>
      </c>
      <c r="H72" s="4">
        <v>36420</v>
      </c>
      <c r="I72" s="4">
        <v>15765</v>
      </c>
      <c r="J72" s="4">
        <v>14821</v>
      </c>
    </row>
    <row r="73" spans="1:10" ht="14.4" x14ac:dyDescent="0.3">
      <c r="A73" s="1" t="s">
        <v>142</v>
      </c>
      <c r="B73" s="2" t="s">
        <v>143</v>
      </c>
      <c r="C73" s="4">
        <v>8634</v>
      </c>
      <c r="D73" s="4">
        <v>15553</v>
      </c>
      <c r="E73" s="4">
        <v>21378</v>
      </c>
      <c r="F73" s="4">
        <v>52223</v>
      </c>
      <c r="G73" s="4">
        <v>71424</v>
      </c>
      <c r="H73" s="4">
        <v>76129</v>
      </c>
      <c r="I73" s="4">
        <v>37688</v>
      </c>
      <c r="J73" s="4">
        <v>32955</v>
      </c>
    </row>
    <row r="74" spans="1:10" ht="14.4" x14ac:dyDescent="0.3">
      <c r="A74" s="1" t="s">
        <v>144</v>
      </c>
      <c r="B74" s="2" t="s">
        <v>145</v>
      </c>
      <c r="C74" s="4">
        <v>5877</v>
      </c>
      <c r="D74" s="4">
        <v>12475</v>
      </c>
      <c r="E74" s="4">
        <v>25025</v>
      </c>
      <c r="F74" s="4">
        <v>56664</v>
      </c>
      <c r="G74" s="4">
        <v>75209</v>
      </c>
      <c r="H74" s="4">
        <v>80081</v>
      </c>
      <c r="I74" s="4">
        <v>36301</v>
      </c>
      <c r="J74" s="4">
        <v>25814</v>
      </c>
    </row>
    <row r="75" spans="1:10" ht="14.4" x14ac:dyDescent="0.3">
      <c r="A75" s="1" t="s">
        <v>146</v>
      </c>
      <c r="B75" s="2" t="s">
        <v>147</v>
      </c>
      <c r="C75" s="4">
        <v>2298</v>
      </c>
      <c r="D75" s="4">
        <v>14736</v>
      </c>
      <c r="E75" s="4">
        <v>23112</v>
      </c>
      <c r="F75" s="4">
        <v>51533</v>
      </c>
      <c r="G75" s="4">
        <v>57067</v>
      </c>
      <c r="H75" s="4">
        <v>47469</v>
      </c>
      <c r="I75" s="4">
        <v>22629</v>
      </c>
      <c r="J75" s="4">
        <v>21289</v>
      </c>
    </row>
    <row r="76" spans="1:10" ht="14.4" x14ac:dyDescent="0.3">
      <c r="A76" s="1" t="s">
        <v>148</v>
      </c>
      <c r="B76" s="2" t="s">
        <v>149</v>
      </c>
      <c r="C76" s="4">
        <v>3424</v>
      </c>
      <c r="D76" s="4">
        <v>25234</v>
      </c>
      <c r="E76" s="4">
        <v>48713</v>
      </c>
      <c r="F76" s="4">
        <v>94989</v>
      </c>
      <c r="G76" s="4">
        <v>100252</v>
      </c>
      <c r="H76" s="4">
        <v>92009</v>
      </c>
      <c r="I76" s="4">
        <v>33768</v>
      </c>
      <c r="J76" s="4">
        <v>36274</v>
      </c>
    </row>
    <row r="77" spans="1:10" ht="14.4" x14ac:dyDescent="0.3">
      <c r="A77" s="1" t="s">
        <v>150</v>
      </c>
      <c r="B77" s="2" t="s">
        <v>151</v>
      </c>
      <c r="C77" s="4">
        <v>520</v>
      </c>
      <c r="D77" s="4">
        <v>55687</v>
      </c>
      <c r="E77" s="4">
        <v>503432</v>
      </c>
      <c r="F77" s="4">
        <v>281989</v>
      </c>
      <c r="G77" s="4">
        <v>252536</v>
      </c>
      <c r="H77" s="4">
        <v>96986</v>
      </c>
      <c r="I77" s="4">
        <v>67814</v>
      </c>
      <c r="J77" s="4">
        <v>111042</v>
      </c>
    </row>
    <row r="78" spans="1:10" ht="14.4" x14ac:dyDescent="0.3">
      <c r="A78" s="1" t="s">
        <v>152</v>
      </c>
      <c r="B78" s="2" t="s">
        <v>153</v>
      </c>
      <c r="C78" s="4">
        <v>6101</v>
      </c>
      <c r="D78" s="4">
        <v>25776</v>
      </c>
      <c r="E78" s="4">
        <v>63808</v>
      </c>
      <c r="F78" s="4">
        <v>136442</v>
      </c>
      <c r="G78" s="4">
        <v>170204</v>
      </c>
      <c r="H78" s="4">
        <v>161926</v>
      </c>
      <c r="I78" s="4">
        <v>74472</v>
      </c>
      <c r="J78" s="4">
        <v>79241</v>
      </c>
    </row>
    <row r="79" spans="1:10" ht="14.4" x14ac:dyDescent="0.3">
      <c r="A79" s="1" t="s">
        <v>154</v>
      </c>
      <c r="B79" s="2" t="s">
        <v>155</v>
      </c>
      <c r="C79" s="4">
        <v>2919</v>
      </c>
      <c r="D79" s="4">
        <v>29517</v>
      </c>
      <c r="E79" s="4">
        <v>99264</v>
      </c>
      <c r="F79" s="4">
        <v>184073</v>
      </c>
      <c r="G79" s="4">
        <v>204075</v>
      </c>
      <c r="H79" s="4">
        <v>134729</v>
      </c>
      <c r="I79" s="4">
        <v>61671</v>
      </c>
      <c r="J79" s="4">
        <v>65634</v>
      </c>
    </row>
    <row r="80" spans="1:10" ht="14.4" x14ac:dyDescent="0.3">
      <c r="A80" s="1" t="s">
        <v>156</v>
      </c>
      <c r="B80" s="2" t="s">
        <v>157</v>
      </c>
      <c r="C80" s="4">
        <v>1139</v>
      </c>
      <c r="D80" s="4">
        <v>28397</v>
      </c>
      <c r="E80" s="4">
        <v>195091</v>
      </c>
      <c r="F80" s="4">
        <v>189244</v>
      </c>
      <c r="G80" s="4">
        <v>181152</v>
      </c>
      <c r="H80" s="4">
        <v>95537</v>
      </c>
      <c r="I80" s="4">
        <v>60583</v>
      </c>
      <c r="J80" s="4">
        <v>72112</v>
      </c>
    </row>
    <row r="81" spans="1:10" ht="14.4" x14ac:dyDescent="0.3">
      <c r="A81" s="1" t="s">
        <v>158</v>
      </c>
      <c r="B81" s="2" t="s">
        <v>159</v>
      </c>
      <c r="C81" s="4">
        <v>7244</v>
      </c>
      <c r="D81" s="4">
        <v>9150</v>
      </c>
      <c r="E81" s="4">
        <v>16137</v>
      </c>
      <c r="F81" s="4">
        <v>34934</v>
      </c>
      <c r="G81" s="4">
        <v>49217</v>
      </c>
      <c r="H81" s="4">
        <v>50713</v>
      </c>
      <c r="I81" s="4">
        <v>24884</v>
      </c>
      <c r="J81" s="4">
        <v>16447</v>
      </c>
    </row>
    <row r="82" spans="1:10" ht="14.4" x14ac:dyDescent="0.3">
      <c r="A82" s="1" t="s">
        <v>160</v>
      </c>
      <c r="B82" s="2" t="s">
        <v>161</v>
      </c>
      <c r="C82" s="4">
        <v>5596</v>
      </c>
      <c r="D82" s="4">
        <v>10811</v>
      </c>
      <c r="E82" s="4">
        <v>25633</v>
      </c>
      <c r="F82" s="4">
        <v>55462</v>
      </c>
      <c r="G82" s="4">
        <v>74585</v>
      </c>
      <c r="H82" s="4">
        <v>81198</v>
      </c>
      <c r="I82" s="4">
        <v>34873</v>
      </c>
      <c r="J82" s="4">
        <v>38160</v>
      </c>
    </row>
    <row r="83" spans="1:10" ht="14.4" x14ac:dyDescent="0.3">
      <c r="A83" s="1" t="s">
        <v>162</v>
      </c>
      <c r="B83" s="2" t="s">
        <v>163</v>
      </c>
      <c r="C83" s="4">
        <v>6139</v>
      </c>
      <c r="D83" s="4">
        <v>11817</v>
      </c>
      <c r="E83" s="4">
        <v>16357</v>
      </c>
      <c r="F83" s="4">
        <v>37848</v>
      </c>
      <c r="G83" s="4">
        <v>47946</v>
      </c>
      <c r="H83" s="4">
        <v>39223</v>
      </c>
      <c r="I83" s="4">
        <v>24283</v>
      </c>
      <c r="J83" s="4">
        <v>22121</v>
      </c>
    </row>
    <row r="84" spans="1:10" ht="14.4" x14ac:dyDescent="0.3">
      <c r="A84" s="1" t="s">
        <v>164</v>
      </c>
      <c r="B84" s="2" t="s">
        <v>165</v>
      </c>
      <c r="C84" s="4">
        <v>4915</v>
      </c>
      <c r="D84" s="4">
        <v>7561</v>
      </c>
      <c r="E84" s="4">
        <v>9224</v>
      </c>
      <c r="F84" s="4">
        <v>23058</v>
      </c>
      <c r="G84" s="4">
        <v>31714</v>
      </c>
      <c r="H84" s="4">
        <v>27882</v>
      </c>
      <c r="I84" s="4">
        <v>14926</v>
      </c>
      <c r="J84" s="4">
        <v>14944</v>
      </c>
    </row>
    <row r="85" spans="1:10" ht="14.4" x14ac:dyDescent="0.3">
      <c r="A85" s="1" t="s">
        <v>166</v>
      </c>
      <c r="B85" s="2" t="s">
        <v>167</v>
      </c>
      <c r="C85" s="4">
        <v>4026</v>
      </c>
      <c r="D85" s="4">
        <v>37375</v>
      </c>
      <c r="E85" s="4">
        <v>47951</v>
      </c>
      <c r="F85" s="4">
        <v>101391</v>
      </c>
      <c r="G85" s="4">
        <v>145886</v>
      </c>
      <c r="H85" s="4">
        <v>83394</v>
      </c>
      <c r="I85" s="4">
        <v>65124</v>
      </c>
      <c r="J85" s="4">
        <v>74497</v>
      </c>
    </row>
    <row r="86" spans="1:10" ht="14.4" x14ac:dyDescent="0.3">
      <c r="A86" s="1" t="s">
        <v>168</v>
      </c>
      <c r="B86" s="2" t="s">
        <v>169</v>
      </c>
      <c r="C86" s="4">
        <v>5195</v>
      </c>
      <c r="D86" s="4">
        <v>19205</v>
      </c>
      <c r="E86" s="4">
        <v>25397</v>
      </c>
      <c r="F86" s="4">
        <v>54174</v>
      </c>
      <c r="G86" s="4">
        <v>70958</v>
      </c>
      <c r="H86" s="4">
        <v>61461</v>
      </c>
      <c r="I86" s="4">
        <v>31042</v>
      </c>
      <c r="J86" s="4">
        <v>41248</v>
      </c>
    </row>
    <row r="87" spans="1:10" ht="14.4" x14ac:dyDescent="0.3">
      <c r="A87" s="1" t="s">
        <v>170</v>
      </c>
      <c r="B87" s="2" t="s">
        <v>171</v>
      </c>
      <c r="C87" s="4">
        <v>10491</v>
      </c>
      <c r="D87" s="4">
        <v>18262</v>
      </c>
      <c r="E87" s="4">
        <v>22060</v>
      </c>
      <c r="F87" s="4">
        <v>57743</v>
      </c>
      <c r="G87" s="4">
        <v>78180</v>
      </c>
      <c r="H87" s="4">
        <v>93504</v>
      </c>
      <c r="I87" s="4">
        <v>45372</v>
      </c>
      <c r="J87" s="4">
        <v>27269</v>
      </c>
    </row>
    <row r="88" spans="1:10" ht="14.4" x14ac:dyDescent="0.3">
      <c r="A88" s="1" t="s">
        <v>172</v>
      </c>
      <c r="B88" s="2" t="s">
        <v>173</v>
      </c>
      <c r="C88" s="4">
        <v>5279</v>
      </c>
      <c r="D88" s="4">
        <v>10094</v>
      </c>
      <c r="E88" s="4">
        <v>22944</v>
      </c>
      <c r="F88" s="4">
        <v>45969</v>
      </c>
      <c r="G88" s="4">
        <v>60627</v>
      </c>
      <c r="H88" s="4">
        <v>47838</v>
      </c>
      <c r="I88" s="4">
        <v>25817</v>
      </c>
      <c r="J88" s="4">
        <v>20378</v>
      </c>
    </row>
    <row r="89" spans="1:10" ht="14.4" x14ac:dyDescent="0.3">
      <c r="A89" s="1" t="s">
        <v>174</v>
      </c>
      <c r="B89" s="2" t="s">
        <v>175</v>
      </c>
      <c r="C89" s="4">
        <v>4691</v>
      </c>
      <c r="D89" s="4">
        <v>9481</v>
      </c>
      <c r="E89" s="4">
        <v>19390</v>
      </c>
      <c r="F89" s="4">
        <v>40694</v>
      </c>
      <c r="G89" s="4">
        <v>49361</v>
      </c>
      <c r="H89" s="4">
        <v>41096</v>
      </c>
      <c r="I89" s="4">
        <v>26412</v>
      </c>
      <c r="J89" s="4">
        <v>18874</v>
      </c>
    </row>
    <row r="90" spans="1:10" ht="14.4" x14ac:dyDescent="0.3">
      <c r="A90" s="1" t="s">
        <v>176</v>
      </c>
      <c r="B90" s="2" t="s">
        <v>177</v>
      </c>
      <c r="C90" s="4">
        <v>3261</v>
      </c>
      <c r="D90" s="4">
        <v>10314</v>
      </c>
      <c r="E90" s="4">
        <v>13808</v>
      </c>
      <c r="F90" s="4">
        <v>35846</v>
      </c>
      <c r="G90" s="4">
        <v>48742</v>
      </c>
      <c r="H90" s="4">
        <v>58126</v>
      </c>
      <c r="I90" s="4">
        <v>25493</v>
      </c>
      <c r="J90" s="4">
        <v>22752</v>
      </c>
    </row>
    <row r="91" spans="1:10" ht="14.4" x14ac:dyDescent="0.3">
      <c r="A91" s="1" t="s">
        <v>178</v>
      </c>
      <c r="B91" s="2" t="s">
        <v>179</v>
      </c>
      <c r="C91" s="4">
        <v>4535</v>
      </c>
      <c r="D91" s="4">
        <v>8999</v>
      </c>
      <c r="E91" s="4">
        <v>13440</v>
      </c>
      <c r="F91" s="4">
        <v>32415</v>
      </c>
      <c r="G91" s="4">
        <v>45522</v>
      </c>
      <c r="H91" s="4">
        <v>47059</v>
      </c>
      <c r="I91" s="4">
        <v>22322</v>
      </c>
      <c r="J91" s="4">
        <v>20915</v>
      </c>
    </row>
    <row r="92" spans="1:10" ht="14.4" x14ac:dyDescent="0.3">
      <c r="A92" s="1" t="s">
        <v>180</v>
      </c>
      <c r="B92" s="2" t="s">
        <v>181</v>
      </c>
      <c r="C92" s="4">
        <v>355</v>
      </c>
      <c r="D92" s="4">
        <v>2680</v>
      </c>
      <c r="E92" s="4">
        <v>9397</v>
      </c>
      <c r="F92" s="4">
        <v>16018</v>
      </c>
      <c r="G92" s="4">
        <v>18443</v>
      </c>
      <c r="H92" s="4">
        <v>19214</v>
      </c>
      <c r="I92" s="4">
        <v>7980</v>
      </c>
      <c r="J92" s="4">
        <v>9337</v>
      </c>
    </row>
    <row r="93" spans="1:10" ht="14.4" x14ac:dyDescent="0.3">
      <c r="A93" s="1" t="s">
        <v>182</v>
      </c>
      <c r="B93" s="2" t="s">
        <v>183</v>
      </c>
      <c r="C93" s="4">
        <v>986</v>
      </c>
      <c r="D93" s="4">
        <v>23685</v>
      </c>
      <c r="E93" s="4">
        <v>123311</v>
      </c>
      <c r="F93" s="4">
        <v>171562</v>
      </c>
      <c r="G93" s="4">
        <v>173357</v>
      </c>
      <c r="H93" s="4">
        <v>101940</v>
      </c>
      <c r="I93" s="4">
        <v>55064</v>
      </c>
      <c r="J93" s="4">
        <v>59887</v>
      </c>
    </row>
    <row r="94" spans="1:10" ht="14.4" x14ac:dyDescent="0.3">
      <c r="A94" s="1" t="s">
        <v>184</v>
      </c>
      <c r="B94" s="2" t="s">
        <v>185</v>
      </c>
      <c r="C94" s="4">
        <v>379</v>
      </c>
      <c r="D94" s="4">
        <v>34216</v>
      </c>
      <c r="E94" s="4">
        <v>277629</v>
      </c>
      <c r="F94" s="4">
        <v>203704</v>
      </c>
      <c r="G94" s="4">
        <v>201237</v>
      </c>
      <c r="H94" s="4">
        <v>82504</v>
      </c>
      <c r="I94" s="4">
        <v>52406</v>
      </c>
      <c r="J94" s="4">
        <v>69392</v>
      </c>
    </row>
    <row r="95" spans="1:10" ht="14.4" x14ac:dyDescent="0.3">
      <c r="A95" s="1" t="s">
        <v>186</v>
      </c>
      <c r="B95" s="2" t="s">
        <v>187</v>
      </c>
      <c r="C95" s="4">
        <v>106</v>
      </c>
      <c r="D95" s="4">
        <v>32743</v>
      </c>
      <c r="E95" s="4">
        <v>88175</v>
      </c>
      <c r="F95" s="4">
        <v>169018</v>
      </c>
      <c r="G95" s="4">
        <v>252790</v>
      </c>
      <c r="H95" s="4">
        <v>173712</v>
      </c>
      <c r="I95" s="4">
        <v>54139</v>
      </c>
      <c r="J95" s="4">
        <v>112647</v>
      </c>
    </row>
    <row r="96" spans="1:10" ht="14.4" x14ac:dyDescent="0.3">
      <c r="A96" s="1" t="s">
        <v>188</v>
      </c>
      <c r="B96" s="2" t="s">
        <v>189</v>
      </c>
      <c r="C96" s="4">
        <v>191</v>
      </c>
      <c r="D96" s="4">
        <v>29593</v>
      </c>
      <c r="E96" s="4">
        <v>146443</v>
      </c>
      <c r="F96" s="4">
        <v>177963</v>
      </c>
      <c r="G96" s="4">
        <v>200237</v>
      </c>
      <c r="H96" s="4">
        <v>102786</v>
      </c>
      <c r="I96" s="4">
        <v>51540</v>
      </c>
      <c r="J96" s="4">
        <v>66572</v>
      </c>
    </row>
    <row r="97" spans="1:10" ht="14.4" x14ac:dyDescent="0.3">
      <c r="A97" s="1" t="s">
        <v>190</v>
      </c>
      <c r="B97" s="2" t="s">
        <v>191</v>
      </c>
      <c r="C97" s="4">
        <v>656</v>
      </c>
      <c r="D97" s="4">
        <v>24543</v>
      </c>
      <c r="E97" s="4">
        <v>95117</v>
      </c>
      <c r="F97" s="4">
        <v>160212</v>
      </c>
      <c r="G97" s="4">
        <v>183428</v>
      </c>
      <c r="H97" s="4">
        <v>110473</v>
      </c>
      <c r="I97" s="4">
        <v>49806</v>
      </c>
      <c r="J97" s="4">
        <v>65429</v>
      </c>
    </row>
  </sheetData>
  <phoneticPr fontId="0" type="noConversion"/>
  <pageMargins left="0.78740157499999996" right="0.78740157499999996" top="0.984251969" bottom="0.984251969" header="0.4921259845" footer="0.4921259845"/>
  <pageSetup paperSize="9" orientation="portrait" verticalDpi="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A31BD-6F32-4B6D-AA69-D6C877078BB8}">
  <dimension ref="A1:B13"/>
  <sheetViews>
    <sheetView workbookViewId="0">
      <selection activeCell="F6" sqref="F6"/>
    </sheetView>
  </sheetViews>
  <sheetFormatPr baseColWidth="10" defaultRowHeight="25.05" customHeight="1" x14ac:dyDescent="0.25"/>
  <cols>
    <col min="1" max="1" width="29.88671875" customWidth="1"/>
    <col min="2" max="2" width="73.5546875" customWidth="1"/>
  </cols>
  <sheetData>
    <row r="1" spans="1:2" ht="25.05" customHeight="1" x14ac:dyDescent="0.25">
      <c r="A1" s="74" t="s">
        <v>230</v>
      </c>
      <c r="B1" s="75"/>
    </row>
    <row r="2" spans="1:2" ht="25.05" customHeight="1" x14ac:dyDescent="0.25">
      <c r="A2" s="2"/>
      <c r="B2" s="2"/>
    </row>
    <row r="3" spans="1:2" ht="25.05" customHeight="1" x14ac:dyDescent="0.25">
      <c r="A3" s="17" t="s">
        <v>231</v>
      </c>
      <c r="B3" s="17" t="s">
        <v>232</v>
      </c>
    </row>
    <row r="4" spans="1:2" ht="25.05" customHeight="1" x14ac:dyDescent="0.25">
      <c r="A4" s="18" t="s">
        <v>233</v>
      </c>
      <c r="B4" s="19" t="s">
        <v>234</v>
      </c>
    </row>
    <row r="5" spans="1:2" ht="25.05" customHeight="1" x14ac:dyDescent="0.25">
      <c r="A5" s="18" t="s">
        <v>235</v>
      </c>
      <c r="B5" s="20" t="s">
        <v>236</v>
      </c>
    </row>
    <row r="6" spans="1:2" ht="55.8" customHeight="1" x14ac:dyDescent="0.25">
      <c r="A6" s="18" t="s">
        <v>237</v>
      </c>
      <c r="B6" s="20" t="s">
        <v>238</v>
      </c>
    </row>
    <row r="7" spans="1:2" ht="49.2" customHeight="1" x14ac:dyDescent="0.25">
      <c r="A7" s="18" t="s">
        <v>239</v>
      </c>
      <c r="B7" s="20" t="s">
        <v>240</v>
      </c>
    </row>
    <row r="8" spans="1:2" ht="23.4" customHeight="1" x14ac:dyDescent="0.25">
      <c r="A8" s="18" t="s">
        <v>241</v>
      </c>
      <c r="B8" s="20" t="s">
        <v>242</v>
      </c>
    </row>
    <row r="9" spans="1:2" ht="60.6" customHeight="1" x14ac:dyDescent="0.25">
      <c r="A9" s="18" t="s">
        <v>243</v>
      </c>
      <c r="B9" s="20" t="s">
        <v>244</v>
      </c>
    </row>
    <row r="10" spans="1:2" ht="25.05" customHeight="1" x14ac:dyDescent="0.25">
      <c r="A10" s="2"/>
      <c r="B10" s="2"/>
    </row>
    <row r="11" spans="1:2" ht="25.05" customHeight="1" x14ac:dyDescent="0.25">
      <c r="A11" s="18" t="s">
        <v>245</v>
      </c>
      <c r="B11" s="21" t="s">
        <v>246</v>
      </c>
    </row>
    <row r="12" spans="1:2" ht="25.05" customHeight="1" x14ac:dyDescent="0.25">
      <c r="A12" s="18" t="s">
        <v>247</v>
      </c>
      <c r="B12" s="21" t="s">
        <v>248</v>
      </c>
    </row>
    <row r="13" spans="1:2" ht="25.05" customHeight="1" x14ac:dyDescent="0.25">
      <c r="A13" s="18" t="s">
        <v>249</v>
      </c>
      <c r="B13" s="21" t="s">
        <v>250</v>
      </c>
    </row>
  </sheetData>
  <mergeCells count="1">
    <mergeCell ref="A1:B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EA328F-0960-43E5-839C-6A64C982279C}">
  <dimension ref="A1:S107"/>
  <sheetViews>
    <sheetView topLeftCell="B30" workbookViewId="0">
      <selection activeCell="G125" sqref="G125"/>
    </sheetView>
  </sheetViews>
  <sheetFormatPr baseColWidth="10" defaultRowHeight="13.2" x14ac:dyDescent="0.25"/>
  <cols>
    <col min="2" max="2" width="22.88671875" customWidth="1"/>
    <col min="3" max="3" width="10.77734375" customWidth="1"/>
    <col min="4" max="4" width="14.5546875" bestFit="1" customWidth="1"/>
    <col min="5" max="10" width="15.5546875" bestFit="1" customWidth="1"/>
    <col min="11" max="11" width="16.6640625" bestFit="1" customWidth="1"/>
    <col min="12" max="12" width="11.6640625" bestFit="1" customWidth="1"/>
    <col min="13" max="13" width="15.21875" customWidth="1"/>
    <col min="14" max="14" width="14.109375" customWidth="1"/>
    <col min="15" max="16" width="15.5546875" customWidth="1"/>
    <col min="17" max="17" width="15.33203125" customWidth="1"/>
    <col min="18" max="18" width="16.33203125" customWidth="1"/>
    <col min="19" max="19" width="11.6640625" bestFit="1" customWidth="1"/>
  </cols>
  <sheetData>
    <row r="1" spans="1:19" ht="14.4" x14ac:dyDescent="0.3">
      <c r="A1" s="3" t="s">
        <v>201</v>
      </c>
      <c r="B1" s="3" t="s">
        <v>192</v>
      </c>
      <c r="C1" s="4" t="s">
        <v>193</v>
      </c>
      <c r="D1" s="4" t="s">
        <v>194</v>
      </c>
      <c r="E1" s="14" t="s">
        <v>195</v>
      </c>
      <c r="F1" s="4" t="s">
        <v>196</v>
      </c>
      <c r="G1" s="14" t="s">
        <v>197</v>
      </c>
      <c r="H1" s="4" t="s">
        <v>198</v>
      </c>
      <c r="I1" s="4" t="s">
        <v>199</v>
      </c>
      <c r="J1" s="4" t="s">
        <v>200</v>
      </c>
      <c r="K1" s="42" t="s">
        <v>284</v>
      </c>
      <c r="L1" s="43" t="s">
        <v>285</v>
      </c>
      <c r="M1" s="43" t="s">
        <v>286</v>
      </c>
      <c r="N1" s="43" t="s">
        <v>287</v>
      </c>
      <c r="O1" s="43" t="s">
        <v>288</v>
      </c>
      <c r="P1" s="43" t="s">
        <v>289</v>
      </c>
      <c r="Q1" s="43" t="s">
        <v>290</v>
      </c>
      <c r="R1" s="43" t="s">
        <v>291</v>
      </c>
      <c r="S1" s="43" t="s">
        <v>292</v>
      </c>
    </row>
    <row r="2" spans="1:19" ht="14.4" x14ac:dyDescent="0.3">
      <c r="A2" s="1" t="s">
        <v>0</v>
      </c>
      <c r="B2" s="2" t="s">
        <v>1</v>
      </c>
      <c r="C2" s="4">
        <v>4067</v>
      </c>
      <c r="D2" s="4">
        <v>16745</v>
      </c>
      <c r="E2" s="4">
        <v>36426</v>
      </c>
      <c r="F2" s="4">
        <v>70663</v>
      </c>
      <c r="G2" s="4">
        <v>77349</v>
      </c>
      <c r="H2" s="4">
        <v>78998</v>
      </c>
      <c r="I2" s="4">
        <v>30417</v>
      </c>
      <c r="J2" s="4">
        <v>29910</v>
      </c>
      <c r="K2" s="40">
        <f t="shared" ref="K2:K33" si="0">SUM(C2:J2)</f>
        <v>344575</v>
      </c>
      <c r="L2" s="41">
        <f t="shared" ref="L2:L33" si="1">C2/$K2</f>
        <v>1.1802945657694261E-2</v>
      </c>
      <c r="M2" s="41">
        <f t="shared" ref="M2:M33" si="2">D2/$K2</f>
        <v>4.8596096640789378E-2</v>
      </c>
      <c r="N2" s="41">
        <f t="shared" ref="N2:N33" si="3">E2/$K2</f>
        <v>0.10571283465138213</v>
      </c>
      <c r="O2" s="41">
        <f t="shared" ref="O2:O33" si="4">F2/$K2</f>
        <v>0.20507291591090474</v>
      </c>
      <c r="P2" s="41">
        <f t="shared" ref="P2:P33" si="5">G2/$K2</f>
        <v>0.22447652905753465</v>
      </c>
      <c r="Q2" s="41">
        <f t="shared" ref="Q2:Q33" si="6">H2/$K2</f>
        <v>0.22926213451353117</v>
      </c>
      <c r="R2" s="41">
        <f t="shared" ref="R2:R33" si="7">I2/$K2</f>
        <v>8.8273960676195307E-2</v>
      </c>
      <c r="S2" s="41">
        <f t="shared" ref="S2:S33" si="8">J2/$K2</f>
        <v>8.6802582891968363E-2</v>
      </c>
    </row>
    <row r="3" spans="1:19" ht="14.4" x14ac:dyDescent="0.3">
      <c r="A3" s="1" t="s">
        <v>2</v>
      </c>
      <c r="B3" s="2" t="s">
        <v>3</v>
      </c>
      <c r="C3" s="4">
        <v>5201</v>
      </c>
      <c r="D3" s="4">
        <v>11414</v>
      </c>
      <c r="E3" s="4">
        <v>18629</v>
      </c>
      <c r="F3" s="4">
        <v>48889</v>
      </c>
      <c r="G3" s="4">
        <v>71578</v>
      </c>
      <c r="H3" s="4">
        <v>78906</v>
      </c>
      <c r="I3" s="4">
        <v>32063</v>
      </c>
      <c r="J3" s="4">
        <v>42108</v>
      </c>
      <c r="K3" s="40">
        <f t="shared" si="0"/>
        <v>308788</v>
      </c>
      <c r="L3" s="41">
        <f t="shared" si="1"/>
        <v>1.6843271111571693E-2</v>
      </c>
      <c r="M3" s="41">
        <f t="shared" si="2"/>
        <v>3.696387165304351E-2</v>
      </c>
      <c r="N3" s="41">
        <f t="shared" si="3"/>
        <v>6.0329416946254391E-2</v>
      </c>
      <c r="O3" s="41">
        <f t="shared" si="4"/>
        <v>0.15832545306164747</v>
      </c>
      <c r="P3" s="41">
        <f t="shared" si="5"/>
        <v>0.23180304934129564</v>
      </c>
      <c r="Q3" s="41">
        <f t="shared" si="6"/>
        <v>0.25553454149772659</v>
      </c>
      <c r="R3" s="41">
        <f t="shared" si="7"/>
        <v>0.10383499358783373</v>
      </c>
      <c r="S3" s="41">
        <f t="shared" si="8"/>
        <v>0.13636540280062698</v>
      </c>
    </row>
    <row r="4" spans="1:19" ht="14.4" x14ac:dyDescent="0.3">
      <c r="A4" s="1" t="s">
        <v>4</v>
      </c>
      <c r="B4" s="2" t="s">
        <v>5</v>
      </c>
      <c r="C4" s="4">
        <v>6159</v>
      </c>
      <c r="D4" s="4">
        <v>9396</v>
      </c>
      <c r="E4" s="4">
        <v>11842</v>
      </c>
      <c r="F4" s="4">
        <v>31102</v>
      </c>
      <c r="G4" s="4">
        <v>46196</v>
      </c>
      <c r="H4" s="4">
        <v>42101</v>
      </c>
      <c r="I4" s="4">
        <v>24218</v>
      </c>
      <c r="J4" s="4">
        <v>21344</v>
      </c>
      <c r="K4" s="40">
        <f t="shared" si="0"/>
        <v>192358</v>
      </c>
      <c r="L4" s="41">
        <f t="shared" si="1"/>
        <v>3.2018423980286759E-2</v>
      </c>
      <c r="M4" s="41">
        <f t="shared" si="2"/>
        <v>4.8846421776063381E-2</v>
      </c>
      <c r="N4" s="41">
        <f t="shared" si="3"/>
        <v>6.1562295303548592E-2</v>
      </c>
      <c r="O4" s="41">
        <f t="shared" si="4"/>
        <v>0.16168810239241416</v>
      </c>
      <c r="P4" s="41">
        <f t="shared" si="5"/>
        <v>0.24015637509227586</v>
      </c>
      <c r="Q4" s="41">
        <f t="shared" si="6"/>
        <v>0.21886794414581145</v>
      </c>
      <c r="R4" s="41">
        <f t="shared" si="7"/>
        <v>0.12590066438619657</v>
      </c>
      <c r="S4" s="41">
        <f t="shared" si="8"/>
        <v>0.11095977292340324</v>
      </c>
    </row>
    <row r="5" spans="1:19" ht="14.4" x14ac:dyDescent="0.3">
      <c r="A5" s="1" t="s">
        <v>6</v>
      </c>
      <c r="B5" s="2" t="s">
        <v>7</v>
      </c>
      <c r="C5" s="4">
        <v>2027</v>
      </c>
      <c r="D5" s="4">
        <v>6387</v>
      </c>
      <c r="E5" s="4">
        <v>6951</v>
      </c>
      <c r="F5" s="4">
        <v>16140</v>
      </c>
      <c r="G5" s="4">
        <v>20885</v>
      </c>
      <c r="H5" s="4">
        <v>15560</v>
      </c>
      <c r="I5" s="4">
        <v>10687</v>
      </c>
      <c r="J5" s="4">
        <v>10278</v>
      </c>
      <c r="K5" s="40">
        <f t="shared" si="0"/>
        <v>88915</v>
      </c>
      <c r="L5" s="41">
        <f t="shared" si="1"/>
        <v>2.2797053365573864E-2</v>
      </c>
      <c r="M5" s="41">
        <f t="shared" si="2"/>
        <v>7.1832649159309453E-2</v>
      </c>
      <c r="N5" s="41">
        <f t="shared" si="3"/>
        <v>7.8175785862902775E-2</v>
      </c>
      <c r="O5" s="41">
        <f t="shared" si="4"/>
        <v>0.18152167800708541</v>
      </c>
      <c r="P5" s="41">
        <f t="shared" si="5"/>
        <v>0.23488725186976325</v>
      </c>
      <c r="Q5" s="41">
        <f t="shared" si="6"/>
        <v>0.17499859416296462</v>
      </c>
      <c r="R5" s="41">
        <f t="shared" si="7"/>
        <v>0.12019344317606703</v>
      </c>
      <c r="S5" s="41">
        <f t="shared" si="8"/>
        <v>0.11559354439633358</v>
      </c>
    </row>
    <row r="6" spans="1:19" ht="14.4" x14ac:dyDescent="0.3">
      <c r="A6" s="1" t="s">
        <v>8</v>
      </c>
      <c r="B6" s="2" t="s">
        <v>9</v>
      </c>
      <c r="C6" s="4">
        <v>2040</v>
      </c>
      <c r="D6" s="4">
        <v>5286</v>
      </c>
      <c r="E6" s="4">
        <v>5883</v>
      </c>
      <c r="F6" s="4">
        <v>15687</v>
      </c>
      <c r="G6" s="4">
        <v>19707</v>
      </c>
      <c r="H6" s="4">
        <v>12415</v>
      </c>
      <c r="I6" s="4">
        <v>8865</v>
      </c>
      <c r="J6" s="4">
        <v>7222</v>
      </c>
      <c r="K6" s="40">
        <f t="shared" si="0"/>
        <v>77105</v>
      </c>
      <c r="L6" s="41">
        <f t="shared" si="1"/>
        <v>2.6457428182348745E-2</v>
      </c>
      <c r="M6" s="41">
        <f t="shared" si="2"/>
        <v>6.8555865378380126E-2</v>
      </c>
      <c r="N6" s="41">
        <f t="shared" si="3"/>
        <v>7.6298553919979251E-2</v>
      </c>
      <c r="O6" s="41">
        <f t="shared" si="4"/>
        <v>0.20344984112573763</v>
      </c>
      <c r="P6" s="41">
        <f t="shared" si="5"/>
        <v>0.25558653783801311</v>
      </c>
      <c r="Q6" s="41">
        <f t="shared" si="6"/>
        <v>0.16101420141365672</v>
      </c>
      <c r="R6" s="41">
        <f t="shared" si="7"/>
        <v>0.11497308864535374</v>
      </c>
      <c r="S6" s="41">
        <f t="shared" si="8"/>
        <v>9.3664483496530698E-2</v>
      </c>
    </row>
    <row r="7" spans="1:19" ht="14.4" x14ac:dyDescent="0.3">
      <c r="A7" s="1" t="s">
        <v>10</v>
      </c>
      <c r="B7" s="2" t="s">
        <v>11</v>
      </c>
      <c r="C7" s="4">
        <v>1918</v>
      </c>
      <c r="D7" s="4">
        <v>39514</v>
      </c>
      <c r="E7" s="4">
        <v>73884</v>
      </c>
      <c r="F7" s="4">
        <v>117652</v>
      </c>
      <c r="G7" s="4">
        <v>160574</v>
      </c>
      <c r="H7" s="4">
        <v>87227</v>
      </c>
      <c r="I7" s="4">
        <v>54801</v>
      </c>
      <c r="J7" s="4">
        <v>68990</v>
      </c>
      <c r="K7" s="40">
        <f t="shared" si="0"/>
        <v>604560</v>
      </c>
      <c r="L7" s="41">
        <f t="shared" si="1"/>
        <v>3.1725552467910547E-3</v>
      </c>
      <c r="M7" s="41">
        <f t="shared" si="2"/>
        <v>6.5359931189625506E-2</v>
      </c>
      <c r="N7" s="41">
        <f t="shared" si="3"/>
        <v>0.1222111949186185</v>
      </c>
      <c r="O7" s="41">
        <f t="shared" si="4"/>
        <v>0.19460764853777954</v>
      </c>
      <c r="P7" s="41">
        <f t="shared" si="5"/>
        <v>0.26560473732962814</v>
      </c>
      <c r="Q7" s="41">
        <f t="shared" si="6"/>
        <v>0.14428179171628952</v>
      </c>
      <c r="R7" s="41">
        <f t="shared" si="7"/>
        <v>9.0646089718142114E-2</v>
      </c>
      <c r="S7" s="41">
        <f t="shared" si="8"/>
        <v>0.11411605134312558</v>
      </c>
    </row>
    <row r="8" spans="1:19" ht="14.4" x14ac:dyDescent="0.3">
      <c r="A8" s="1" t="s">
        <v>12</v>
      </c>
      <c r="B8" s="2" t="s">
        <v>13</v>
      </c>
      <c r="C8" s="4">
        <v>4132</v>
      </c>
      <c r="D8" s="4">
        <v>10758</v>
      </c>
      <c r="E8" s="4">
        <v>12461</v>
      </c>
      <c r="F8" s="4">
        <v>31859</v>
      </c>
      <c r="G8" s="4">
        <v>39088</v>
      </c>
      <c r="H8" s="4">
        <v>37199</v>
      </c>
      <c r="I8" s="4">
        <v>21660</v>
      </c>
      <c r="J8" s="4">
        <v>19063</v>
      </c>
      <c r="K8" s="40">
        <f t="shared" si="0"/>
        <v>176220</v>
      </c>
      <c r="L8" s="41">
        <f t="shared" si="1"/>
        <v>2.344796277380547E-2</v>
      </c>
      <c r="M8" s="41">
        <f t="shared" si="2"/>
        <v>6.1048689138576778E-2</v>
      </c>
      <c r="N8" s="41">
        <f t="shared" si="3"/>
        <v>7.0712745431846552E-2</v>
      </c>
      <c r="O8" s="41">
        <f t="shared" si="4"/>
        <v>0.18079105663375325</v>
      </c>
      <c r="P8" s="41">
        <f t="shared" si="5"/>
        <v>0.22181364203836115</v>
      </c>
      <c r="Q8" s="41">
        <f t="shared" si="6"/>
        <v>0.21109408693678355</v>
      </c>
      <c r="R8" s="41">
        <f t="shared" si="7"/>
        <v>0.12291453864487573</v>
      </c>
      <c r="S8" s="41">
        <f t="shared" si="8"/>
        <v>0.10817727840199751</v>
      </c>
    </row>
    <row r="9" spans="1:19" ht="14.4" x14ac:dyDescent="0.3">
      <c r="A9" s="1" t="s">
        <v>14</v>
      </c>
      <c r="B9" s="2" t="s">
        <v>15</v>
      </c>
      <c r="C9" s="4">
        <v>3362</v>
      </c>
      <c r="D9" s="4">
        <v>6520</v>
      </c>
      <c r="E9" s="4">
        <v>9771</v>
      </c>
      <c r="F9" s="4">
        <v>25487</v>
      </c>
      <c r="G9" s="4">
        <v>36326</v>
      </c>
      <c r="H9" s="4">
        <v>42618</v>
      </c>
      <c r="I9" s="4">
        <v>16464</v>
      </c>
      <c r="J9" s="4">
        <v>23226</v>
      </c>
      <c r="K9" s="40">
        <f t="shared" si="0"/>
        <v>163774</v>
      </c>
      <c r="L9" s="41">
        <f t="shared" si="1"/>
        <v>2.052828898359935E-2</v>
      </c>
      <c r="M9" s="41">
        <f t="shared" si="2"/>
        <v>3.9810959004481783E-2</v>
      </c>
      <c r="N9" s="41">
        <f t="shared" si="3"/>
        <v>5.9661484728955758E-2</v>
      </c>
      <c r="O9" s="41">
        <f t="shared" si="4"/>
        <v>0.15562299266061769</v>
      </c>
      <c r="P9" s="41">
        <f t="shared" si="5"/>
        <v>0.22180565901791494</v>
      </c>
      <c r="Q9" s="41">
        <f t="shared" si="6"/>
        <v>0.26022445565230135</v>
      </c>
      <c r="R9" s="41">
        <f t="shared" si="7"/>
        <v>0.10052877746162395</v>
      </c>
      <c r="S9" s="41">
        <f t="shared" si="8"/>
        <v>0.14181738249050521</v>
      </c>
    </row>
    <row r="10" spans="1:19" ht="14.4" x14ac:dyDescent="0.3">
      <c r="A10" s="1" t="s">
        <v>16</v>
      </c>
      <c r="B10" s="2" t="s">
        <v>17</v>
      </c>
      <c r="C10" s="4">
        <v>2348</v>
      </c>
      <c r="D10" s="4">
        <v>4888</v>
      </c>
      <c r="E10" s="4">
        <v>5537</v>
      </c>
      <c r="F10" s="4">
        <v>14442</v>
      </c>
      <c r="G10" s="4">
        <v>20788</v>
      </c>
      <c r="H10" s="4">
        <v>16635</v>
      </c>
      <c r="I10" s="4">
        <v>10379</v>
      </c>
      <c r="J10" s="4">
        <v>9741</v>
      </c>
      <c r="K10" s="40">
        <f t="shared" si="0"/>
        <v>84758</v>
      </c>
      <c r="L10" s="41">
        <f t="shared" si="1"/>
        <v>2.7702399773472712E-2</v>
      </c>
      <c r="M10" s="41">
        <f t="shared" si="2"/>
        <v>5.767007244153944E-2</v>
      </c>
      <c r="N10" s="41">
        <f t="shared" si="3"/>
        <v>6.5327166757120275E-2</v>
      </c>
      <c r="O10" s="41">
        <f t="shared" si="4"/>
        <v>0.17039099554024398</v>
      </c>
      <c r="P10" s="41">
        <f t="shared" si="5"/>
        <v>0.24526298402510677</v>
      </c>
      <c r="Q10" s="41">
        <f t="shared" si="6"/>
        <v>0.19626465938318507</v>
      </c>
      <c r="R10" s="41">
        <f t="shared" si="7"/>
        <v>0.12245451756766323</v>
      </c>
      <c r="S10" s="41">
        <f t="shared" si="8"/>
        <v>0.11492720451166852</v>
      </c>
    </row>
    <row r="11" spans="1:19" ht="14.4" x14ac:dyDescent="0.3">
      <c r="A11" s="1" t="s">
        <v>18</v>
      </c>
      <c r="B11" s="2" t="s">
        <v>19</v>
      </c>
      <c r="C11" s="4">
        <v>4786</v>
      </c>
      <c r="D11" s="4">
        <v>7198</v>
      </c>
      <c r="E11" s="4">
        <v>12499</v>
      </c>
      <c r="F11" s="4">
        <v>28889</v>
      </c>
      <c r="G11" s="4">
        <v>40121</v>
      </c>
      <c r="H11" s="4">
        <v>43224</v>
      </c>
      <c r="I11" s="4">
        <v>18616</v>
      </c>
      <c r="J11" s="4">
        <v>18373</v>
      </c>
      <c r="K11" s="40">
        <f t="shared" si="0"/>
        <v>173706</v>
      </c>
      <c r="L11" s="41">
        <f t="shared" si="1"/>
        <v>2.7552301014357593E-2</v>
      </c>
      <c r="M11" s="41">
        <f t="shared" si="2"/>
        <v>4.1437831738684906E-2</v>
      </c>
      <c r="N11" s="41">
        <f t="shared" si="3"/>
        <v>7.1954912323120679E-2</v>
      </c>
      <c r="O11" s="41">
        <f t="shared" si="4"/>
        <v>0.16630974174755045</v>
      </c>
      <c r="P11" s="41">
        <f t="shared" si="5"/>
        <v>0.2309707206429254</v>
      </c>
      <c r="Q11" s="41">
        <f t="shared" si="6"/>
        <v>0.2488342371593382</v>
      </c>
      <c r="R11" s="41">
        <f t="shared" si="7"/>
        <v>0.10716958539140847</v>
      </c>
      <c r="S11" s="41">
        <f t="shared" si="8"/>
        <v>0.10577066998261431</v>
      </c>
    </row>
    <row r="12" spans="1:19" ht="14.4" x14ac:dyDescent="0.3">
      <c r="A12" s="1" t="s">
        <v>20</v>
      </c>
      <c r="B12" s="2" t="s">
        <v>21</v>
      </c>
      <c r="C12" s="4">
        <v>5474</v>
      </c>
      <c r="D12" s="4">
        <v>12045</v>
      </c>
      <c r="E12" s="4">
        <v>13486</v>
      </c>
      <c r="F12" s="4">
        <v>31504</v>
      </c>
      <c r="G12" s="4">
        <v>47297</v>
      </c>
      <c r="H12" s="4">
        <v>34501</v>
      </c>
      <c r="I12" s="4">
        <v>25584</v>
      </c>
      <c r="J12" s="4">
        <v>25482</v>
      </c>
      <c r="K12" s="40">
        <f t="shared" si="0"/>
        <v>195373</v>
      </c>
      <c r="L12" s="41">
        <f t="shared" si="1"/>
        <v>2.8018201082032828E-2</v>
      </c>
      <c r="M12" s="41">
        <f t="shared" si="2"/>
        <v>6.1651302892416042E-2</v>
      </c>
      <c r="N12" s="41">
        <f t="shared" si="3"/>
        <v>6.9026938215618325E-2</v>
      </c>
      <c r="O12" s="41">
        <f t="shared" si="4"/>
        <v>0.16125053103550643</v>
      </c>
      <c r="P12" s="41">
        <f t="shared" si="5"/>
        <v>0.24208565154857631</v>
      </c>
      <c r="Q12" s="41">
        <f t="shared" si="6"/>
        <v>0.17659041935170161</v>
      </c>
      <c r="R12" s="41">
        <f t="shared" si="7"/>
        <v>0.13094951707759003</v>
      </c>
      <c r="S12" s="41">
        <f t="shared" si="8"/>
        <v>0.13042743879655838</v>
      </c>
    </row>
    <row r="13" spans="1:19" ht="14.4" x14ac:dyDescent="0.3">
      <c r="A13" s="1" t="s">
        <v>22</v>
      </c>
      <c r="B13" s="2" t="s">
        <v>23</v>
      </c>
      <c r="C13" s="4">
        <v>11100</v>
      </c>
      <c r="D13" s="4">
        <v>10116</v>
      </c>
      <c r="E13" s="4">
        <v>9937</v>
      </c>
      <c r="F13" s="4">
        <v>25717</v>
      </c>
      <c r="G13" s="4">
        <v>33970</v>
      </c>
      <c r="H13" s="4">
        <v>29390</v>
      </c>
      <c r="I13" s="4">
        <v>18550</v>
      </c>
      <c r="J13" s="4">
        <v>13039</v>
      </c>
      <c r="K13" s="40">
        <f t="shared" si="0"/>
        <v>151819</v>
      </c>
      <c r="L13" s="41">
        <f t="shared" si="1"/>
        <v>7.3113378430894688E-2</v>
      </c>
      <c r="M13" s="41">
        <f t="shared" si="2"/>
        <v>6.6631976234858614E-2</v>
      </c>
      <c r="N13" s="41">
        <f t="shared" si="3"/>
        <v>6.5452940672774823E-2</v>
      </c>
      <c r="O13" s="41">
        <f t="shared" si="4"/>
        <v>0.1693925002799386</v>
      </c>
      <c r="P13" s="41">
        <f t="shared" si="5"/>
        <v>0.22375328516193627</v>
      </c>
      <c r="Q13" s="41">
        <f t="shared" si="6"/>
        <v>0.19358578307063015</v>
      </c>
      <c r="R13" s="41">
        <f t="shared" si="7"/>
        <v>0.12218497026063932</v>
      </c>
      <c r="S13" s="41">
        <f t="shared" si="8"/>
        <v>8.588516588832755E-2</v>
      </c>
    </row>
    <row r="14" spans="1:19" ht="14.4" x14ac:dyDescent="0.3">
      <c r="A14" s="1" t="s">
        <v>24</v>
      </c>
      <c r="B14" s="2" t="s">
        <v>25</v>
      </c>
      <c r="C14" s="4">
        <v>4508</v>
      </c>
      <c r="D14" s="4">
        <v>52145</v>
      </c>
      <c r="E14" s="4">
        <v>135584</v>
      </c>
      <c r="F14" s="4">
        <v>225526</v>
      </c>
      <c r="G14" s="4">
        <v>268192</v>
      </c>
      <c r="H14" s="4">
        <v>168920</v>
      </c>
      <c r="I14" s="4">
        <v>100790</v>
      </c>
      <c r="J14" s="4">
        <v>155952</v>
      </c>
      <c r="K14" s="40">
        <f t="shared" si="0"/>
        <v>1111617</v>
      </c>
      <c r="L14" s="41">
        <f t="shared" si="1"/>
        <v>4.0553535975070554E-3</v>
      </c>
      <c r="M14" s="41">
        <f t="shared" si="2"/>
        <v>4.6909142267525593E-2</v>
      </c>
      <c r="N14" s="41">
        <f t="shared" si="3"/>
        <v>0.12197006702848193</v>
      </c>
      <c r="O14" s="41">
        <f t="shared" si="4"/>
        <v>0.20288102826782967</v>
      </c>
      <c r="P14" s="41">
        <f t="shared" si="5"/>
        <v>0.24126295297750933</v>
      </c>
      <c r="Q14" s="41">
        <f t="shared" si="6"/>
        <v>0.15195881315237172</v>
      </c>
      <c r="R14" s="41">
        <f t="shared" si="7"/>
        <v>9.0669718077359379E-2</v>
      </c>
      <c r="S14" s="41">
        <f t="shared" si="8"/>
        <v>0.14029292463141532</v>
      </c>
    </row>
    <row r="15" spans="1:19" ht="14.4" x14ac:dyDescent="0.3">
      <c r="A15" s="1" t="s">
        <v>26</v>
      </c>
      <c r="B15" s="2" t="s">
        <v>27</v>
      </c>
      <c r="C15" s="4">
        <v>6081</v>
      </c>
      <c r="D15" s="4">
        <v>18540</v>
      </c>
      <c r="E15" s="4">
        <v>36155</v>
      </c>
      <c r="F15" s="4">
        <v>72740</v>
      </c>
      <c r="G15" s="4">
        <v>94384</v>
      </c>
      <c r="H15" s="4">
        <v>82643</v>
      </c>
      <c r="I15" s="4">
        <v>41776</v>
      </c>
      <c r="J15" s="4">
        <v>34559</v>
      </c>
      <c r="K15" s="40">
        <f t="shared" si="0"/>
        <v>386878</v>
      </c>
      <c r="L15" s="41">
        <f t="shared" si="1"/>
        <v>1.5718133365040143E-2</v>
      </c>
      <c r="M15" s="41">
        <f t="shared" si="2"/>
        <v>4.792208396445391E-2</v>
      </c>
      <c r="N15" s="41">
        <f t="shared" si="3"/>
        <v>9.3453233319030812E-2</v>
      </c>
      <c r="O15" s="41">
        <f t="shared" si="4"/>
        <v>0.18801792813238283</v>
      </c>
      <c r="P15" s="41">
        <f t="shared" si="5"/>
        <v>0.24396321320933215</v>
      </c>
      <c r="Q15" s="41">
        <f t="shared" si="6"/>
        <v>0.21361514482601751</v>
      </c>
      <c r="R15" s="41">
        <f t="shared" si="7"/>
        <v>0.10798236136456454</v>
      </c>
      <c r="S15" s="41">
        <f t="shared" si="8"/>
        <v>8.9327901819178143E-2</v>
      </c>
    </row>
    <row r="16" spans="1:19" ht="14.4" x14ac:dyDescent="0.3">
      <c r="A16" s="1" t="s">
        <v>28</v>
      </c>
      <c r="B16" s="2" t="s">
        <v>29</v>
      </c>
      <c r="C16" s="4">
        <v>7431</v>
      </c>
      <c r="D16" s="4">
        <v>4976</v>
      </c>
      <c r="E16" s="4">
        <v>4547</v>
      </c>
      <c r="F16" s="4">
        <v>12517</v>
      </c>
      <c r="G16" s="4">
        <v>19508</v>
      </c>
      <c r="H16" s="4">
        <v>17183</v>
      </c>
      <c r="I16" s="4">
        <v>10386</v>
      </c>
      <c r="J16" s="4">
        <v>7786</v>
      </c>
      <c r="K16" s="40">
        <f t="shared" si="0"/>
        <v>84334</v>
      </c>
      <c r="L16" s="41">
        <f t="shared" si="1"/>
        <v>8.8113927953138715E-2</v>
      </c>
      <c r="M16" s="41">
        <f t="shared" si="2"/>
        <v>5.9003486138449496E-2</v>
      </c>
      <c r="N16" s="41">
        <f t="shared" si="3"/>
        <v>5.3916569829487511E-2</v>
      </c>
      <c r="O16" s="41">
        <f t="shared" si="4"/>
        <v>0.14842175160670668</v>
      </c>
      <c r="P16" s="41">
        <f t="shared" si="5"/>
        <v>0.23131832949937153</v>
      </c>
      <c r="Q16" s="41">
        <f t="shared" si="6"/>
        <v>0.20374937747527688</v>
      </c>
      <c r="R16" s="41">
        <f t="shared" si="7"/>
        <v>0.12315317665473</v>
      </c>
      <c r="S16" s="41">
        <f t="shared" si="8"/>
        <v>9.2323380842839184E-2</v>
      </c>
    </row>
    <row r="17" spans="1:19" ht="14.4" x14ac:dyDescent="0.3">
      <c r="A17" s="1" t="s">
        <v>30</v>
      </c>
      <c r="B17" s="2" t="s">
        <v>31</v>
      </c>
      <c r="C17" s="4">
        <v>5756</v>
      </c>
      <c r="D17" s="4">
        <v>10236</v>
      </c>
      <c r="E17" s="4">
        <v>14308</v>
      </c>
      <c r="F17" s="4">
        <v>32982</v>
      </c>
      <c r="G17" s="4">
        <v>46169</v>
      </c>
      <c r="H17" s="4">
        <v>46763</v>
      </c>
      <c r="I17" s="4">
        <v>24653</v>
      </c>
      <c r="J17" s="4">
        <v>20416</v>
      </c>
      <c r="K17" s="40">
        <f t="shared" si="0"/>
        <v>201283</v>
      </c>
      <c r="L17" s="41">
        <f t="shared" si="1"/>
        <v>2.8596553111787881E-2</v>
      </c>
      <c r="M17" s="41">
        <f t="shared" si="2"/>
        <v>5.0853773045910482E-2</v>
      </c>
      <c r="N17" s="41">
        <f t="shared" si="3"/>
        <v>7.1083996164604063E-2</v>
      </c>
      <c r="O17" s="41">
        <f t="shared" si="4"/>
        <v>0.16385884550607852</v>
      </c>
      <c r="P17" s="41">
        <f t="shared" si="5"/>
        <v>0.22937356855770233</v>
      </c>
      <c r="Q17" s="41">
        <f t="shared" si="6"/>
        <v>0.23232463745075341</v>
      </c>
      <c r="R17" s="41">
        <f t="shared" si="7"/>
        <v>0.12247929532051888</v>
      </c>
      <c r="S17" s="41">
        <f t="shared" si="8"/>
        <v>0.10142933084264444</v>
      </c>
    </row>
    <row r="18" spans="1:19" ht="14.4" x14ac:dyDescent="0.3">
      <c r="A18" s="1" t="s">
        <v>32</v>
      </c>
      <c r="B18" s="2" t="s">
        <v>33</v>
      </c>
      <c r="C18" s="4">
        <v>9061</v>
      </c>
      <c r="D18" s="4">
        <v>21025</v>
      </c>
      <c r="E18" s="4">
        <v>24906</v>
      </c>
      <c r="F18" s="4">
        <v>57199</v>
      </c>
      <c r="G18" s="4">
        <v>84800</v>
      </c>
      <c r="H18" s="4">
        <v>65577</v>
      </c>
      <c r="I18" s="4">
        <v>46140</v>
      </c>
      <c r="J18" s="4">
        <v>35151</v>
      </c>
      <c r="K18" s="40">
        <f t="shared" si="0"/>
        <v>343859</v>
      </c>
      <c r="L18" s="41">
        <f t="shared" si="1"/>
        <v>2.6350917091016956E-2</v>
      </c>
      <c r="M18" s="41">
        <f t="shared" si="2"/>
        <v>6.1144248078427492E-2</v>
      </c>
      <c r="N18" s="41">
        <f t="shared" si="3"/>
        <v>7.2430851017422845E-2</v>
      </c>
      <c r="O18" s="41">
        <f t="shared" si="4"/>
        <v>0.16634434462963016</v>
      </c>
      <c r="P18" s="41">
        <f t="shared" si="5"/>
        <v>0.24661271044236155</v>
      </c>
      <c r="Q18" s="41">
        <f t="shared" si="6"/>
        <v>0.19070898246083423</v>
      </c>
      <c r="R18" s="41">
        <f t="shared" si="7"/>
        <v>0.13418290636569058</v>
      </c>
      <c r="S18" s="41">
        <f t="shared" si="8"/>
        <v>0.10222503991461616</v>
      </c>
    </row>
    <row r="19" spans="1:19" ht="14.4" x14ac:dyDescent="0.3">
      <c r="A19" s="1" t="s">
        <v>34</v>
      </c>
      <c r="B19" s="2" t="s">
        <v>35</v>
      </c>
      <c r="C19" s="4">
        <v>4025</v>
      </c>
      <c r="D19" s="4">
        <v>8183</v>
      </c>
      <c r="E19" s="4">
        <v>12967</v>
      </c>
      <c r="F19" s="4">
        <v>29897</v>
      </c>
      <c r="G19" s="4">
        <v>42604</v>
      </c>
      <c r="H19" s="4">
        <v>39209</v>
      </c>
      <c r="I19" s="4">
        <v>22057</v>
      </c>
      <c r="J19" s="4">
        <v>18361</v>
      </c>
      <c r="K19" s="40">
        <f t="shared" si="0"/>
        <v>177303</v>
      </c>
      <c r="L19" s="41">
        <f t="shared" si="1"/>
        <v>2.2701251529866951E-2</v>
      </c>
      <c r="M19" s="41">
        <f t="shared" si="2"/>
        <v>4.6152631371155592E-2</v>
      </c>
      <c r="N19" s="41">
        <f t="shared" si="3"/>
        <v>7.3134690332368885E-2</v>
      </c>
      <c r="O19" s="41">
        <f t="shared" si="4"/>
        <v>0.16862094832010738</v>
      </c>
      <c r="P19" s="41">
        <f t="shared" si="5"/>
        <v>0.24028922240458425</v>
      </c>
      <c r="Q19" s="41">
        <f t="shared" si="6"/>
        <v>0.2211412102446095</v>
      </c>
      <c r="R19" s="41">
        <f t="shared" si="7"/>
        <v>0.12440285838367089</v>
      </c>
      <c r="S19" s="41">
        <f t="shared" si="8"/>
        <v>0.10355718741363654</v>
      </c>
    </row>
    <row r="20" spans="1:19" ht="14.4" x14ac:dyDescent="0.3">
      <c r="A20" s="1" t="s">
        <v>36</v>
      </c>
      <c r="B20" s="2" t="s">
        <v>37</v>
      </c>
      <c r="C20" s="4">
        <v>4930</v>
      </c>
      <c r="D20" s="4">
        <v>7553</v>
      </c>
      <c r="E20" s="4">
        <v>9273</v>
      </c>
      <c r="F20" s="4">
        <v>23538</v>
      </c>
      <c r="G20" s="4">
        <v>33050</v>
      </c>
      <c r="H20" s="4">
        <v>28048</v>
      </c>
      <c r="I20" s="4">
        <v>16824</v>
      </c>
      <c r="J20" s="4">
        <v>12970</v>
      </c>
      <c r="K20" s="40">
        <f t="shared" si="0"/>
        <v>136186</v>
      </c>
      <c r="L20" s="41">
        <f t="shared" si="1"/>
        <v>3.6200490505632003E-2</v>
      </c>
      <c r="M20" s="41">
        <f t="shared" si="2"/>
        <v>5.546091375031207E-2</v>
      </c>
      <c r="N20" s="41">
        <f t="shared" si="3"/>
        <v>6.8090699484528519E-2</v>
      </c>
      <c r="O20" s="41">
        <f t="shared" si="4"/>
        <v>0.17283714919301543</v>
      </c>
      <c r="P20" s="41">
        <f t="shared" si="5"/>
        <v>0.24268280146270541</v>
      </c>
      <c r="Q20" s="41">
        <f t="shared" si="6"/>
        <v>0.20595362225192015</v>
      </c>
      <c r="R20" s="41">
        <f t="shared" si="7"/>
        <v>0.12353692743747521</v>
      </c>
      <c r="S20" s="41">
        <f t="shared" si="8"/>
        <v>9.5237395914411174E-2</v>
      </c>
    </row>
    <row r="21" spans="1:19" ht="14.4" x14ac:dyDescent="0.3">
      <c r="A21" s="1" t="s">
        <v>38</v>
      </c>
      <c r="B21" s="2" t="s">
        <v>39</v>
      </c>
      <c r="C21" s="4">
        <v>5352</v>
      </c>
      <c r="D21" s="4">
        <v>13503</v>
      </c>
      <c r="E21" s="4">
        <v>32185</v>
      </c>
      <c r="F21" s="4">
        <v>62097</v>
      </c>
      <c r="G21" s="4">
        <v>71854</v>
      </c>
      <c r="H21" s="4">
        <v>61993</v>
      </c>
      <c r="I21" s="4">
        <v>30098</v>
      </c>
      <c r="J21" s="4">
        <v>23303</v>
      </c>
      <c r="K21" s="40">
        <f t="shared" si="0"/>
        <v>300385</v>
      </c>
      <c r="L21" s="41">
        <f t="shared" si="1"/>
        <v>1.7817134677164306E-2</v>
      </c>
      <c r="M21" s="41">
        <f t="shared" si="2"/>
        <v>4.4952311200625865E-2</v>
      </c>
      <c r="N21" s="41">
        <f t="shared" si="3"/>
        <v>0.10714582951878422</v>
      </c>
      <c r="O21" s="41">
        <f t="shared" si="4"/>
        <v>0.20672470329743495</v>
      </c>
      <c r="P21" s="41">
        <f t="shared" si="5"/>
        <v>0.23920635184846115</v>
      </c>
      <c r="Q21" s="41">
        <f t="shared" si="6"/>
        <v>0.20637848094944822</v>
      </c>
      <c r="R21" s="41">
        <f t="shared" si="7"/>
        <v>0.10019807913178089</v>
      </c>
      <c r="S21" s="41">
        <f t="shared" si="8"/>
        <v>7.7577109376300413E-2</v>
      </c>
    </row>
    <row r="22" spans="1:19" ht="14.4" x14ac:dyDescent="0.3">
      <c r="A22" s="1" t="s">
        <v>40</v>
      </c>
      <c r="B22" s="2" t="s">
        <v>41</v>
      </c>
      <c r="C22" s="4">
        <v>12517</v>
      </c>
      <c r="D22" s="4">
        <v>17359</v>
      </c>
      <c r="E22" s="4">
        <v>24766</v>
      </c>
      <c r="F22" s="4">
        <v>54660</v>
      </c>
      <c r="G22" s="4">
        <v>70213</v>
      </c>
      <c r="H22" s="4">
        <v>68805</v>
      </c>
      <c r="I22" s="4">
        <v>43023</v>
      </c>
      <c r="J22" s="4">
        <v>29034</v>
      </c>
      <c r="K22" s="40">
        <f t="shared" si="0"/>
        <v>320377</v>
      </c>
      <c r="L22" s="41">
        <f t="shared" si="1"/>
        <v>3.9069596132056919E-2</v>
      </c>
      <c r="M22" s="41">
        <f t="shared" si="2"/>
        <v>5.4183040605286899E-2</v>
      </c>
      <c r="N22" s="41">
        <f t="shared" si="3"/>
        <v>7.7302677782737209E-2</v>
      </c>
      <c r="O22" s="41">
        <f t="shared" si="4"/>
        <v>0.1706114983285317</v>
      </c>
      <c r="P22" s="41">
        <f t="shared" si="5"/>
        <v>0.21915743015260147</v>
      </c>
      <c r="Q22" s="41">
        <f t="shared" si="6"/>
        <v>0.21476260780268247</v>
      </c>
      <c r="R22" s="41">
        <f t="shared" si="7"/>
        <v>0.13428866616517415</v>
      </c>
      <c r="S22" s="41">
        <f t="shared" si="8"/>
        <v>9.0624483030929182E-2</v>
      </c>
    </row>
    <row r="23" spans="1:19" ht="14.4" x14ac:dyDescent="0.3">
      <c r="A23" s="1" t="s">
        <v>42</v>
      </c>
      <c r="B23" s="2" t="s">
        <v>43</v>
      </c>
      <c r="C23" s="4">
        <v>5259</v>
      </c>
      <c r="D23" s="4">
        <v>3696</v>
      </c>
      <c r="E23" s="4">
        <v>3669</v>
      </c>
      <c r="F23" s="4">
        <v>9387</v>
      </c>
      <c r="G23" s="4">
        <v>16039</v>
      </c>
      <c r="H23" s="4">
        <v>12764</v>
      </c>
      <c r="I23" s="4">
        <v>9811</v>
      </c>
      <c r="J23" s="4">
        <v>6780</v>
      </c>
      <c r="K23" s="40">
        <f t="shared" si="0"/>
        <v>67405</v>
      </c>
      <c r="L23" s="41">
        <f t="shared" si="1"/>
        <v>7.8020918329500782E-2</v>
      </c>
      <c r="M23" s="41">
        <f t="shared" si="2"/>
        <v>5.4832727542467173E-2</v>
      </c>
      <c r="N23" s="41">
        <f t="shared" si="3"/>
        <v>5.4432163786069285E-2</v>
      </c>
      <c r="O23" s="41">
        <f t="shared" si="4"/>
        <v>0.13926266597433426</v>
      </c>
      <c r="P23" s="41">
        <f t="shared" si="5"/>
        <v>0.23794970699503004</v>
      </c>
      <c r="Q23" s="41">
        <f t="shared" si="6"/>
        <v>0.18936280691343371</v>
      </c>
      <c r="R23" s="41">
        <f t="shared" si="7"/>
        <v>0.14555300051924933</v>
      </c>
      <c r="S23" s="41">
        <f t="shared" si="8"/>
        <v>0.10058600993991544</v>
      </c>
    </row>
    <row r="24" spans="1:19" ht="14.4" x14ac:dyDescent="0.3">
      <c r="A24" s="1" t="s">
        <v>44</v>
      </c>
      <c r="B24" s="2" t="s">
        <v>45</v>
      </c>
      <c r="C24" s="4">
        <v>7694</v>
      </c>
      <c r="D24" s="4">
        <v>15460</v>
      </c>
      <c r="E24" s="4">
        <v>14125</v>
      </c>
      <c r="F24" s="4">
        <v>34308</v>
      </c>
      <c r="G24" s="4">
        <v>54103</v>
      </c>
      <c r="H24" s="4">
        <v>47943</v>
      </c>
      <c r="I24" s="4">
        <v>31651</v>
      </c>
      <c r="J24" s="4">
        <v>24558</v>
      </c>
      <c r="K24" s="40">
        <f t="shared" si="0"/>
        <v>229842</v>
      </c>
      <c r="L24" s="41">
        <f t="shared" si="1"/>
        <v>3.3475169899322144E-2</v>
      </c>
      <c r="M24" s="41">
        <f t="shared" si="2"/>
        <v>6.7263598471993799E-2</v>
      </c>
      <c r="N24" s="41">
        <f t="shared" si="3"/>
        <v>6.1455260570304815E-2</v>
      </c>
      <c r="O24" s="41">
        <f t="shared" si="4"/>
        <v>0.14926775785104551</v>
      </c>
      <c r="P24" s="41">
        <f t="shared" si="5"/>
        <v>0.2353921389476249</v>
      </c>
      <c r="Q24" s="41">
        <f t="shared" si="6"/>
        <v>0.20859111911661055</v>
      </c>
      <c r="R24" s="41">
        <f t="shared" si="7"/>
        <v>0.13770764264146676</v>
      </c>
      <c r="S24" s="41">
        <f t="shared" si="8"/>
        <v>0.10684731250163156</v>
      </c>
    </row>
    <row r="25" spans="1:19" ht="14.4" x14ac:dyDescent="0.3">
      <c r="A25" s="1" t="s">
        <v>46</v>
      </c>
      <c r="B25" s="2" t="s">
        <v>47</v>
      </c>
      <c r="C25" s="4">
        <v>4123</v>
      </c>
      <c r="D25" s="4">
        <v>12196</v>
      </c>
      <c r="E25" s="4">
        <v>29138</v>
      </c>
      <c r="F25" s="4">
        <v>57994</v>
      </c>
      <c r="G25" s="4">
        <v>65018</v>
      </c>
      <c r="H25" s="4">
        <v>77588</v>
      </c>
      <c r="I25" s="4">
        <v>28449</v>
      </c>
      <c r="J25" s="4">
        <v>27692</v>
      </c>
      <c r="K25" s="40">
        <f t="shared" si="0"/>
        <v>302198</v>
      </c>
      <c r="L25" s="41">
        <f t="shared" si="1"/>
        <v>1.364337288797411E-2</v>
      </c>
      <c r="M25" s="41">
        <f t="shared" si="2"/>
        <v>4.0357646311358776E-2</v>
      </c>
      <c r="N25" s="41">
        <f t="shared" si="3"/>
        <v>9.6420227797669081E-2</v>
      </c>
      <c r="O25" s="41">
        <f t="shared" si="4"/>
        <v>0.19190729256977213</v>
      </c>
      <c r="P25" s="41">
        <f t="shared" si="5"/>
        <v>0.21515033190160093</v>
      </c>
      <c r="Q25" s="41">
        <f t="shared" si="6"/>
        <v>0.25674557740289478</v>
      </c>
      <c r="R25" s="41">
        <f t="shared" si="7"/>
        <v>9.4140265653644306E-2</v>
      </c>
      <c r="S25" s="41">
        <f t="shared" si="8"/>
        <v>9.163528547508587E-2</v>
      </c>
    </row>
    <row r="26" spans="1:19" ht="14.4" x14ac:dyDescent="0.3">
      <c r="A26" s="1" t="s">
        <v>48</v>
      </c>
      <c r="B26" s="2" t="s">
        <v>49</v>
      </c>
      <c r="C26" s="4">
        <v>6106</v>
      </c>
      <c r="D26" s="4">
        <v>14998</v>
      </c>
      <c r="E26" s="4">
        <v>23027</v>
      </c>
      <c r="F26" s="4">
        <v>52929</v>
      </c>
      <c r="G26" s="4">
        <v>59618</v>
      </c>
      <c r="H26" s="4">
        <v>57491</v>
      </c>
      <c r="I26" s="4">
        <v>28522</v>
      </c>
      <c r="J26" s="4">
        <v>30398</v>
      </c>
      <c r="K26" s="40">
        <f t="shared" si="0"/>
        <v>273089</v>
      </c>
      <c r="L26" s="41">
        <f t="shared" si="1"/>
        <v>2.2359011164858344E-2</v>
      </c>
      <c r="M26" s="41">
        <f t="shared" si="2"/>
        <v>5.4919824672542653E-2</v>
      </c>
      <c r="N26" s="41">
        <f t="shared" si="3"/>
        <v>8.4320496248475776E-2</v>
      </c>
      <c r="O26" s="41">
        <f t="shared" si="4"/>
        <v>0.19381593546426257</v>
      </c>
      <c r="P26" s="41">
        <f t="shared" si="5"/>
        <v>0.21830978179274887</v>
      </c>
      <c r="Q26" s="41">
        <f t="shared" si="6"/>
        <v>0.21052111216489863</v>
      </c>
      <c r="R26" s="41">
        <f t="shared" si="7"/>
        <v>0.10444214157289382</v>
      </c>
      <c r="S26" s="41">
        <f t="shared" si="8"/>
        <v>0.11131169691931934</v>
      </c>
    </row>
    <row r="27" spans="1:19" ht="14.4" x14ac:dyDescent="0.3">
      <c r="A27" s="1" t="s">
        <v>50</v>
      </c>
      <c r="B27" s="2" t="s">
        <v>51</v>
      </c>
      <c r="C27" s="4">
        <v>4064</v>
      </c>
      <c r="D27" s="4">
        <v>14930</v>
      </c>
      <c r="E27" s="4">
        <v>28312</v>
      </c>
      <c r="F27" s="4">
        <v>62716</v>
      </c>
      <c r="G27" s="4">
        <v>74944</v>
      </c>
      <c r="H27" s="4">
        <v>85833</v>
      </c>
      <c r="I27" s="4">
        <v>34937</v>
      </c>
      <c r="J27" s="4">
        <v>33452</v>
      </c>
      <c r="K27" s="40">
        <f t="shared" si="0"/>
        <v>339188</v>
      </c>
      <c r="L27" s="41">
        <f t="shared" si="1"/>
        <v>1.1981555951271861E-2</v>
      </c>
      <c r="M27" s="41">
        <f t="shared" si="2"/>
        <v>4.4016887389884074E-2</v>
      </c>
      <c r="N27" s="41">
        <f t="shared" si="3"/>
        <v>8.3469934077856522E-2</v>
      </c>
      <c r="O27" s="41">
        <f t="shared" si="4"/>
        <v>0.18490040921259007</v>
      </c>
      <c r="P27" s="41">
        <f t="shared" si="5"/>
        <v>0.22095121289668265</v>
      </c>
      <c r="Q27" s="41">
        <f t="shared" si="6"/>
        <v>0.25305435333797188</v>
      </c>
      <c r="R27" s="41">
        <f t="shared" si="7"/>
        <v>0.10300187506633489</v>
      </c>
      <c r="S27" s="41">
        <f t="shared" si="8"/>
        <v>9.862377206740805E-2</v>
      </c>
    </row>
    <row r="28" spans="1:19" ht="14.4" x14ac:dyDescent="0.3">
      <c r="A28" s="1" t="s">
        <v>52</v>
      </c>
      <c r="B28" s="2" t="s">
        <v>53</v>
      </c>
      <c r="C28" s="4">
        <v>3848</v>
      </c>
      <c r="D28" s="4">
        <v>10110</v>
      </c>
      <c r="E28" s="4">
        <v>22675</v>
      </c>
      <c r="F28" s="4">
        <v>47678</v>
      </c>
      <c r="G28" s="4">
        <v>58632</v>
      </c>
      <c r="H28" s="4">
        <v>57416</v>
      </c>
      <c r="I28" s="4">
        <v>25285</v>
      </c>
      <c r="J28" s="4">
        <v>22370</v>
      </c>
      <c r="K28" s="40">
        <f t="shared" si="0"/>
        <v>248014</v>
      </c>
      <c r="L28" s="41">
        <f t="shared" si="1"/>
        <v>1.5515253171191949E-2</v>
      </c>
      <c r="M28" s="41">
        <f t="shared" si="2"/>
        <v>4.0763827848427914E-2</v>
      </c>
      <c r="N28" s="41">
        <f t="shared" si="3"/>
        <v>9.1426290451345482E-2</v>
      </c>
      <c r="O28" s="41">
        <f t="shared" si="4"/>
        <v>0.19223914779004411</v>
      </c>
      <c r="P28" s="41">
        <f t="shared" si="5"/>
        <v>0.23640600933818251</v>
      </c>
      <c r="Q28" s="41">
        <f t="shared" si="6"/>
        <v>0.23150306031111148</v>
      </c>
      <c r="R28" s="41">
        <f t="shared" si="7"/>
        <v>0.10194988992556872</v>
      </c>
      <c r="S28" s="41">
        <f t="shared" si="8"/>
        <v>9.0196521164127838E-2</v>
      </c>
    </row>
    <row r="29" spans="1:19" ht="14.4" x14ac:dyDescent="0.3">
      <c r="A29" s="1" t="s">
        <v>54</v>
      </c>
      <c r="B29" s="2" t="s">
        <v>55</v>
      </c>
      <c r="C29" s="4">
        <v>11054</v>
      </c>
      <c r="D29" s="4">
        <v>23043</v>
      </c>
      <c r="E29" s="4">
        <v>46057</v>
      </c>
      <c r="F29" s="4">
        <v>94797</v>
      </c>
      <c r="G29" s="4">
        <v>116573</v>
      </c>
      <c r="H29" s="4">
        <v>101817</v>
      </c>
      <c r="I29" s="4">
        <v>59116</v>
      </c>
      <c r="J29" s="4">
        <v>46699</v>
      </c>
      <c r="K29" s="40">
        <f t="shared" si="0"/>
        <v>499156</v>
      </c>
      <c r="L29" s="41">
        <f t="shared" si="1"/>
        <v>2.214538140380963E-2</v>
      </c>
      <c r="M29" s="41">
        <f t="shared" si="2"/>
        <v>4.6163924704901875E-2</v>
      </c>
      <c r="N29" s="41">
        <f t="shared" si="3"/>
        <v>9.2269751340262357E-2</v>
      </c>
      <c r="O29" s="41">
        <f t="shared" si="4"/>
        <v>0.18991457580395707</v>
      </c>
      <c r="P29" s="41">
        <f t="shared" si="5"/>
        <v>0.2335402158844129</v>
      </c>
      <c r="Q29" s="41">
        <f t="shared" si="6"/>
        <v>0.20397831539638911</v>
      </c>
      <c r="R29" s="41">
        <f t="shared" si="7"/>
        <v>0.11843191306926092</v>
      </c>
      <c r="S29" s="41">
        <f t="shared" si="8"/>
        <v>9.355592239700615E-2</v>
      </c>
    </row>
    <row r="30" spans="1:19" ht="14.4" x14ac:dyDescent="0.3">
      <c r="A30" s="1" t="s">
        <v>56</v>
      </c>
      <c r="B30" s="2" t="s">
        <v>57</v>
      </c>
      <c r="C30" s="4">
        <v>961</v>
      </c>
      <c r="D30" s="4">
        <v>5713</v>
      </c>
      <c r="E30" s="4">
        <v>6022</v>
      </c>
      <c r="F30" s="4">
        <v>13559</v>
      </c>
      <c r="G30" s="4">
        <v>21947</v>
      </c>
      <c r="H30" s="4">
        <v>12667</v>
      </c>
      <c r="I30" s="4">
        <v>7775</v>
      </c>
      <c r="J30" s="4">
        <v>13129</v>
      </c>
      <c r="K30" s="40">
        <f t="shared" si="0"/>
        <v>81773</v>
      </c>
      <c r="L30" s="41">
        <f t="shared" si="1"/>
        <v>1.1752045296124638E-2</v>
      </c>
      <c r="M30" s="41">
        <f t="shared" si="2"/>
        <v>6.986413608403752E-2</v>
      </c>
      <c r="N30" s="41">
        <f t="shared" si="3"/>
        <v>7.3642889462291958E-2</v>
      </c>
      <c r="O30" s="41">
        <f t="shared" si="4"/>
        <v>0.16581267655583137</v>
      </c>
      <c r="P30" s="41">
        <f t="shared" si="5"/>
        <v>0.26838932165873819</v>
      </c>
      <c r="Q30" s="41">
        <f t="shared" si="6"/>
        <v>0.15490443055776357</v>
      </c>
      <c r="R30" s="41">
        <f t="shared" si="7"/>
        <v>9.5080283223068746E-2</v>
      </c>
      <c r="S30" s="41">
        <f t="shared" si="8"/>
        <v>0.16055421716214399</v>
      </c>
    </row>
    <row r="31" spans="1:19" ht="14.4" x14ac:dyDescent="0.3">
      <c r="A31" s="1" t="s">
        <v>58</v>
      </c>
      <c r="B31" s="2" t="s">
        <v>59</v>
      </c>
      <c r="C31" s="4">
        <v>1690</v>
      </c>
      <c r="D31" s="4">
        <v>6641</v>
      </c>
      <c r="E31" s="4">
        <v>6564</v>
      </c>
      <c r="F31" s="4">
        <v>14095</v>
      </c>
      <c r="G31" s="4">
        <v>23988</v>
      </c>
      <c r="H31" s="4">
        <v>14894</v>
      </c>
      <c r="I31" s="4">
        <v>9132</v>
      </c>
      <c r="J31" s="4">
        <v>17518</v>
      </c>
      <c r="K31" s="40">
        <f t="shared" si="0"/>
        <v>94522</v>
      </c>
      <c r="L31" s="41">
        <f t="shared" si="1"/>
        <v>1.7879435475339076E-2</v>
      </c>
      <c r="M31" s="41">
        <f t="shared" si="2"/>
        <v>7.0258775734749576E-2</v>
      </c>
      <c r="N31" s="41">
        <f t="shared" si="3"/>
        <v>6.9444150568121712E-2</v>
      </c>
      <c r="O31" s="41">
        <f t="shared" si="4"/>
        <v>0.14911872368337531</v>
      </c>
      <c r="P31" s="41">
        <f t="shared" si="5"/>
        <v>0.25378218827362942</v>
      </c>
      <c r="Q31" s="41">
        <f t="shared" si="6"/>
        <v>0.15757178223059182</v>
      </c>
      <c r="R31" s="41">
        <f t="shared" si="7"/>
        <v>9.6612428852542259E-2</v>
      </c>
      <c r="S31" s="41">
        <f t="shared" si="8"/>
        <v>0.18533251518165084</v>
      </c>
    </row>
    <row r="32" spans="1:19" ht="14.4" x14ac:dyDescent="0.3">
      <c r="A32" s="1" t="s">
        <v>60</v>
      </c>
      <c r="B32" s="2" t="s">
        <v>61</v>
      </c>
      <c r="C32" s="4">
        <v>5512</v>
      </c>
      <c r="D32" s="4">
        <v>24259</v>
      </c>
      <c r="E32" s="4">
        <v>33087</v>
      </c>
      <c r="F32" s="4">
        <v>72732</v>
      </c>
      <c r="G32" s="4">
        <v>92908</v>
      </c>
      <c r="H32" s="4">
        <v>70703</v>
      </c>
      <c r="I32" s="4">
        <v>42619</v>
      </c>
      <c r="J32" s="4">
        <v>52901</v>
      </c>
      <c r="K32" s="40">
        <f t="shared" si="0"/>
        <v>394721</v>
      </c>
      <c r="L32" s="41">
        <f t="shared" si="1"/>
        <v>1.3964293766989849E-2</v>
      </c>
      <c r="M32" s="41">
        <f t="shared" si="2"/>
        <v>6.1458599871808191E-2</v>
      </c>
      <c r="N32" s="41">
        <f t="shared" si="3"/>
        <v>8.3823764127066963E-2</v>
      </c>
      <c r="O32" s="41">
        <f t="shared" si="4"/>
        <v>0.18426179504004095</v>
      </c>
      <c r="P32" s="41">
        <f t="shared" si="5"/>
        <v>0.23537637977204151</v>
      </c>
      <c r="Q32" s="41">
        <f t="shared" si="6"/>
        <v>0.17912145540774368</v>
      </c>
      <c r="R32" s="41">
        <f t="shared" si="7"/>
        <v>0.10797246662832735</v>
      </c>
      <c r="S32" s="41">
        <f t="shared" si="8"/>
        <v>0.13402124538598148</v>
      </c>
    </row>
    <row r="33" spans="1:19" ht="14.4" x14ac:dyDescent="0.3">
      <c r="A33" s="1" t="s">
        <v>62</v>
      </c>
      <c r="B33" s="2" t="s">
        <v>63</v>
      </c>
      <c r="C33" s="4">
        <v>4702</v>
      </c>
      <c r="D33" s="4">
        <v>32086</v>
      </c>
      <c r="E33" s="4">
        <v>128841</v>
      </c>
      <c r="F33" s="4">
        <v>164672</v>
      </c>
      <c r="G33" s="4">
        <v>162558</v>
      </c>
      <c r="H33" s="4">
        <v>101756</v>
      </c>
      <c r="I33" s="4">
        <v>56477</v>
      </c>
      <c r="J33" s="4">
        <v>59378</v>
      </c>
      <c r="K33" s="40">
        <f t="shared" si="0"/>
        <v>710470</v>
      </c>
      <c r="L33" s="41">
        <f t="shared" si="1"/>
        <v>6.6181541796275709E-3</v>
      </c>
      <c r="M33" s="41">
        <f t="shared" si="2"/>
        <v>4.5161653553281632E-2</v>
      </c>
      <c r="N33" s="41">
        <f t="shared" si="3"/>
        <v>0.1813461511393866</v>
      </c>
      <c r="O33" s="41">
        <f t="shared" si="4"/>
        <v>0.23177896322152941</v>
      </c>
      <c r="P33" s="41">
        <f t="shared" si="5"/>
        <v>0.228803468126733</v>
      </c>
      <c r="Q33" s="41">
        <f t="shared" si="6"/>
        <v>0.14322349993666164</v>
      </c>
      <c r="R33" s="41">
        <f t="shared" si="7"/>
        <v>7.9492448660745701E-2</v>
      </c>
      <c r="S33" s="41">
        <f t="shared" si="8"/>
        <v>8.3575661182034425E-2</v>
      </c>
    </row>
    <row r="34" spans="1:19" ht="14.4" x14ac:dyDescent="0.3">
      <c r="A34" s="1" t="s">
        <v>64</v>
      </c>
      <c r="B34" s="2" t="s">
        <v>65</v>
      </c>
      <c r="C34" s="4">
        <v>7235</v>
      </c>
      <c r="D34" s="4">
        <v>6491</v>
      </c>
      <c r="E34" s="4">
        <v>7732</v>
      </c>
      <c r="F34" s="4">
        <v>17150</v>
      </c>
      <c r="G34" s="4">
        <v>22956</v>
      </c>
      <c r="H34" s="4">
        <v>19043</v>
      </c>
      <c r="I34" s="4">
        <v>12722</v>
      </c>
      <c r="J34" s="4">
        <v>9512</v>
      </c>
      <c r="K34" s="40">
        <f t="shared" ref="K34:K65" si="9">SUM(C34:J34)</f>
        <v>102841</v>
      </c>
      <c r="L34" s="41">
        <f t="shared" ref="L34:L65" si="10">C34/$K34</f>
        <v>7.0351319026458317E-2</v>
      </c>
      <c r="M34" s="41">
        <f t="shared" ref="M34:M65" si="11">D34/$K34</f>
        <v>6.3116850283447268E-2</v>
      </c>
      <c r="N34" s="41">
        <f t="shared" ref="N34:N65" si="12">E34/$K34</f>
        <v>7.5184021936776188E-2</v>
      </c>
      <c r="O34" s="41">
        <f t="shared" ref="O34:O65" si="13">F34/$K34</f>
        <v>0.16676228352505323</v>
      </c>
      <c r="P34" s="41">
        <f t="shared" ref="P34:P65" si="14">G34/$K34</f>
        <v>0.22321836621580887</v>
      </c>
      <c r="Q34" s="41">
        <f t="shared" ref="Q34:Q65" si="15">H34/$K34</f>
        <v>0.18516933907682734</v>
      </c>
      <c r="R34" s="41">
        <f t="shared" ref="R34:R65" si="16">I34/$K34</f>
        <v>0.12370552600616486</v>
      </c>
      <c r="S34" s="41">
        <f t="shared" ref="S34:S65" si="17">J34/$K34</f>
        <v>9.2492293929463926E-2</v>
      </c>
    </row>
    <row r="35" spans="1:19" ht="14.4" x14ac:dyDescent="0.3">
      <c r="A35" s="1" t="s">
        <v>66</v>
      </c>
      <c r="B35" s="2" t="s">
        <v>67</v>
      </c>
      <c r="C35" s="4">
        <v>9389</v>
      </c>
      <c r="D35" s="4">
        <v>39895</v>
      </c>
      <c r="E35" s="4">
        <v>99621</v>
      </c>
      <c r="F35" s="4">
        <v>166936</v>
      </c>
      <c r="G35" s="4">
        <v>202658</v>
      </c>
      <c r="H35" s="4">
        <v>148351</v>
      </c>
      <c r="I35" s="4">
        <v>78907</v>
      </c>
      <c r="J35" s="4">
        <v>78128</v>
      </c>
      <c r="K35" s="40">
        <f t="shared" si="9"/>
        <v>823885</v>
      </c>
      <c r="L35" s="41">
        <f t="shared" si="10"/>
        <v>1.1396007938001057E-2</v>
      </c>
      <c r="M35" s="41">
        <f t="shared" si="11"/>
        <v>4.8423020203062321E-2</v>
      </c>
      <c r="N35" s="41">
        <f t="shared" si="12"/>
        <v>0.1209161472778361</v>
      </c>
      <c r="O35" s="41">
        <f t="shared" si="13"/>
        <v>0.20262051135777445</v>
      </c>
      <c r="P35" s="41">
        <f t="shared" si="14"/>
        <v>0.24597850428154414</v>
      </c>
      <c r="Q35" s="41">
        <f t="shared" si="15"/>
        <v>0.18006275147623757</v>
      </c>
      <c r="R35" s="41">
        <f t="shared" si="16"/>
        <v>9.5774288887405398E-2</v>
      </c>
      <c r="S35" s="41">
        <f t="shared" si="17"/>
        <v>9.4828768578138933E-2</v>
      </c>
    </row>
    <row r="36" spans="1:19" ht="14.4" x14ac:dyDescent="0.3">
      <c r="A36" s="1" t="s">
        <v>68</v>
      </c>
      <c r="B36" s="2" t="s">
        <v>69</v>
      </c>
      <c r="C36" s="4">
        <v>7322</v>
      </c>
      <c r="D36" s="4">
        <v>33221</v>
      </c>
      <c r="E36" s="4">
        <v>65327</v>
      </c>
      <c r="F36" s="4">
        <v>110491</v>
      </c>
      <c r="G36" s="4">
        <v>136295</v>
      </c>
      <c r="H36" s="4">
        <v>84697</v>
      </c>
      <c r="I36" s="4">
        <v>60066</v>
      </c>
      <c r="J36" s="4">
        <v>71805</v>
      </c>
      <c r="K36" s="40">
        <f t="shared" si="9"/>
        <v>569224</v>
      </c>
      <c r="L36" s="41">
        <f t="shared" si="10"/>
        <v>1.2863125939876041E-2</v>
      </c>
      <c r="M36" s="41">
        <f t="shared" si="11"/>
        <v>5.8361910249743514E-2</v>
      </c>
      <c r="N36" s="41">
        <f t="shared" si="12"/>
        <v>0.11476501342178123</v>
      </c>
      <c r="O36" s="41">
        <f t="shared" si="13"/>
        <v>0.19410811912357875</v>
      </c>
      <c r="P36" s="41">
        <f t="shared" si="14"/>
        <v>0.23944000955687039</v>
      </c>
      <c r="Q36" s="41">
        <f t="shared" si="15"/>
        <v>0.1487937964667688</v>
      </c>
      <c r="R36" s="41">
        <f t="shared" si="16"/>
        <v>0.1055226062147766</v>
      </c>
      <c r="S36" s="41">
        <f t="shared" si="17"/>
        <v>0.12614541902660464</v>
      </c>
    </row>
    <row r="37" spans="1:19" ht="14.4" x14ac:dyDescent="0.3">
      <c r="A37" s="1" t="s">
        <v>70</v>
      </c>
      <c r="B37" s="2" t="s">
        <v>71</v>
      </c>
      <c r="C37" s="4">
        <v>12050</v>
      </c>
      <c r="D37" s="4">
        <v>23440</v>
      </c>
      <c r="E37" s="4">
        <v>68615</v>
      </c>
      <c r="F37" s="4">
        <v>111614</v>
      </c>
      <c r="G37" s="4">
        <v>127534</v>
      </c>
      <c r="H37" s="4">
        <v>114237</v>
      </c>
      <c r="I37" s="4">
        <v>52549</v>
      </c>
      <c r="J37" s="4">
        <v>39050</v>
      </c>
      <c r="K37" s="40">
        <f t="shared" si="9"/>
        <v>549089</v>
      </c>
      <c r="L37" s="41">
        <f t="shared" si="10"/>
        <v>2.1945440538783331E-2</v>
      </c>
      <c r="M37" s="41">
        <f t="shared" si="11"/>
        <v>4.2688890143492218E-2</v>
      </c>
      <c r="N37" s="41">
        <f t="shared" si="12"/>
        <v>0.1249615271841177</v>
      </c>
      <c r="O37" s="41">
        <f t="shared" si="13"/>
        <v>0.20327123653906742</v>
      </c>
      <c r="P37" s="41">
        <f t="shared" si="14"/>
        <v>0.2322647148276509</v>
      </c>
      <c r="Q37" s="41">
        <f t="shared" si="15"/>
        <v>0.20804823990282084</v>
      </c>
      <c r="R37" s="41">
        <f t="shared" si="16"/>
        <v>9.57021539313299E-2</v>
      </c>
      <c r="S37" s="41">
        <f t="shared" si="17"/>
        <v>7.1117796932737676E-2</v>
      </c>
    </row>
    <row r="38" spans="1:19" ht="14.4" x14ac:dyDescent="0.3">
      <c r="A38" s="1" t="s">
        <v>72</v>
      </c>
      <c r="B38" s="2" t="s">
        <v>73</v>
      </c>
      <c r="C38" s="4">
        <v>4325</v>
      </c>
      <c r="D38" s="4">
        <v>5867</v>
      </c>
      <c r="E38" s="4">
        <v>7796</v>
      </c>
      <c r="F38" s="4">
        <v>18947</v>
      </c>
      <c r="G38" s="4">
        <v>32400</v>
      </c>
      <c r="H38" s="4">
        <v>30469</v>
      </c>
      <c r="I38" s="4">
        <v>17048</v>
      </c>
      <c r="J38" s="4">
        <v>12831</v>
      </c>
      <c r="K38" s="40">
        <f t="shared" si="9"/>
        <v>129683</v>
      </c>
      <c r="L38" s="41">
        <f t="shared" si="10"/>
        <v>3.3350554814432117E-2</v>
      </c>
      <c r="M38" s="41">
        <f t="shared" si="11"/>
        <v>4.5241087883531379E-2</v>
      </c>
      <c r="N38" s="41">
        <f t="shared" si="12"/>
        <v>6.0115820886315091E-2</v>
      </c>
      <c r="O38" s="41">
        <f t="shared" si="13"/>
        <v>0.1461024189755018</v>
      </c>
      <c r="P38" s="41">
        <f t="shared" si="14"/>
        <v>0.24983999444800012</v>
      </c>
      <c r="Q38" s="41">
        <f t="shared" si="15"/>
        <v>0.2349498392233369</v>
      </c>
      <c r="R38" s="41">
        <f t="shared" si="16"/>
        <v>0.1314590193009107</v>
      </c>
      <c r="S38" s="41">
        <f t="shared" si="17"/>
        <v>9.8941264467971898E-2</v>
      </c>
    </row>
    <row r="39" spans="1:19" ht="14.4" x14ac:dyDescent="0.3">
      <c r="A39" s="1" t="s">
        <v>74</v>
      </c>
      <c r="B39" s="2" t="s">
        <v>75</v>
      </c>
      <c r="C39" s="4">
        <v>4719</v>
      </c>
      <c r="D39" s="4">
        <v>14605</v>
      </c>
      <c r="E39" s="4">
        <v>34943</v>
      </c>
      <c r="F39" s="4">
        <v>68613</v>
      </c>
      <c r="G39" s="4">
        <v>80225</v>
      </c>
      <c r="H39" s="4">
        <v>67018</v>
      </c>
      <c r="I39" s="4">
        <v>34800</v>
      </c>
      <c r="J39" s="4">
        <v>26677</v>
      </c>
      <c r="K39" s="40">
        <f t="shared" si="9"/>
        <v>331600</v>
      </c>
      <c r="L39" s="41">
        <f t="shared" si="10"/>
        <v>1.4231001206272617E-2</v>
      </c>
      <c r="M39" s="41">
        <f t="shared" si="11"/>
        <v>4.4044028950542824E-2</v>
      </c>
      <c r="N39" s="41">
        <f t="shared" si="12"/>
        <v>0.10537696019300362</v>
      </c>
      <c r="O39" s="41">
        <f t="shared" si="13"/>
        <v>0.20691495778045838</v>
      </c>
      <c r="P39" s="41">
        <f t="shared" si="14"/>
        <v>0.24193305186972255</v>
      </c>
      <c r="Q39" s="41">
        <f t="shared" si="15"/>
        <v>0.20210494571773222</v>
      </c>
      <c r="R39" s="41">
        <f t="shared" si="16"/>
        <v>0.10494571773220748</v>
      </c>
      <c r="S39" s="41">
        <f t="shared" si="17"/>
        <v>8.0449336550060313E-2</v>
      </c>
    </row>
    <row r="40" spans="1:19" ht="14.4" x14ac:dyDescent="0.3">
      <c r="A40" s="1" t="s">
        <v>76</v>
      </c>
      <c r="B40" s="2" t="s">
        <v>77</v>
      </c>
      <c r="C40" s="4">
        <v>5082</v>
      </c>
      <c r="D40" s="4">
        <v>32509</v>
      </c>
      <c r="E40" s="4">
        <v>95061</v>
      </c>
      <c r="F40" s="4">
        <v>147665</v>
      </c>
      <c r="G40" s="4">
        <v>150018</v>
      </c>
      <c r="H40" s="4">
        <v>132086</v>
      </c>
      <c r="I40" s="4">
        <v>61170</v>
      </c>
      <c r="J40" s="4">
        <v>63762</v>
      </c>
      <c r="K40" s="40">
        <f t="shared" si="9"/>
        <v>687353</v>
      </c>
      <c r="L40" s="41">
        <f t="shared" si="10"/>
        <v>7.3935808820213191E-3</v>
      </c>
      <c r="M40" s="41">
        <f t="shared" si="11"/>
        <v>4.7295930911773136E-2</v>
      </c>
      <c r="N40" s="41">
        <f t="shared" si="12"/>
        <v>0.13830011653400801</v>
      </c>
      <c r="O40" s="41">
        <f t="shared" si="13"/>
        <v>0.21483138940253407</v>
      </c>
      <c r="P40" s="41">
        <f t="shared" si="14"/>
        <v>0.21825466681603195</v>
      </c>
      <c r="Q40" s="41">
        <f t="shared" si="15"/>
        <v>0.19216617953220544</v>
      </c>
      <c r="R40" s="41">
        <f t="shared" si="16"/>
        <v>8.8993573898709974E-2</v>
      </c>
      <c r="S40" s="41">
        <f t="shared" si="17"/>
        <v>9.2764562022716129E-2</v>
      </c>
    </row>
    <row r="41" spans="1:19" ht="14.4" x14ac:dyDescent="0.3">
      <c r="A41" s="1" t="s">
        <v>78</v>
      </c>
      <c r="B41" s="2" t="s">
        <v>79</v>
      </c>
      <c r="C41" s="4">
        <v>2915</v>
      </c>
      <c r="D41" s="4">
        <v>7213</v>
      </c>
      <c r="E41" s="4">
        <v>10366</v>
      </c>
      <c r="F41" s="4">
        <v>26641</v>
      </c>
      <c r="G41" s="4">
        <v>31904</v>
      </c>
      <c r="H41" s="4">
        <v>39453</v>
      </c>
      <c r="I41" s="4">
        <v>16042</v>
      </c>
      <c r="J41" s="4">
        <v>13509</v>
      </c>
      <c r="K41" s="40">
        <f t="shared" si="9"/>
        <v>148043</v>
      </c>
      <c r="L41" s="41">
        <f t="shared" si="10"/>
        <v>1.9690225137291191E-2</v>
      </c>
      <c r="M41" s="41">
        <f t="shared" si="11"/>
        <v>4.8722330674196013E-2</v>
      </c>
      <c r="N41" s="41">
        <f t="shared" si="12"/>
        <v>7.0020196834703424E-2</v>
      </c>
      <c r="O41" s="41">
        <f t="shared" si="13"/>
        <v>0.17995447268698958</v>
      </c>
      <c r="P41" s="41">
        <f t="shared" si="14"/>
        <v>0.21550495464155683</v>
      </c>
      <c r="Q41" s="41">
        <f t="shared" si="15"/>
        <v>0.26649689617205813</v>
      </c>
      <c r="R41" s="41">
        <f t="shared" si="16"/>
        <v>0.1083604088001459</v>
      </c>
      <c r="S41" s="41">
        <f t="shared" si="17"/>
        <v>9.1250515053058909E-2</v>
      </c>
    </row>
    <row r="42" spans="1:19" ht="14.4" x14ac:dyDescent="0.3">
      <c r="A42" s="1" t="s">
        <v>80</v>
      </c>
      <c r="B42" s="2" t="s">
        <v>81</v>
      </c>
      <c r="C42" s="4">
        <v>4888</v>
      </c>
      <c r="D42" s="4">
        <v>12443</v>
      </c>
      <c r="E42" s="4">
        <v>15090</v>
      </c>
      <c r="F42" s="4">
        <v>36886</v>
      </c>
      <c r="G42" s="4">
        <v>51782</v>
      </c>
      <c r="H42" s="4">
        <v>45906</v>
      </c>
      <c r="I42" s="4">
        <v>26987</v>
      </c>
      <c r="J42" s="4">
        <v>20698</v>
      </c>
      <c r="K42" s="40">
        <f t="shared" si="9"/>
        <v>214680</v>
      </c>
      <c r="L42" s="41">
        <f t="shared" si="10"/>
        <v>2.2768772125954909E-2</v>
      </c>
      <c r="M42" s="41">
        <f t="shared" si="11"/>
        <v>5.7960685671697411E-2</v>
      </c>
      <c r="N42" s="41">
        <f t="shared" si="12"/>
        <v>7.0290665176076017E-2</v>
      </c>
      <c r="O42" s="41">
        <f t="shared" si="13"/>
        <v>0.1718185205887833</v>
      </c>
      <c r="P42" s="41">
        <f t="shared" si="14"/>
        <v>0.24120551518539221</v>
      </c>
      <c r="Q42" s="41">
        <f t="shared" si="15"/>
        <v>0.21383454443823366</v>
      </c>
      <c r="R42" s="41">
        <f t="shared" si="16"/>
        <v>0.12570803055710825</v>
      </c>
      <c r="S42" s="41">
        <f t="shared" si="17"/>
        <v>9.641326625675424E-2</v>
      </c>
    </row>
    <row r="43" spans="1:19" ht="14.4" x14ac:dyDescent="0.3">
      <c r="A43" s="1" t="s">
        <v>82</v>
      </c>
      <c r="B43" s="2" t="s">
        <v>83</v>
      </c>
      <c r="C43" s="4">
        <v>3587</v>
      </c>
      <c r="D43" s="4">
        <v>8775</v>
      </c>
      <c r="E43" s="4">
        <v>14272</v>
      </c>
      <c r="F43" s="4">
        <v>31680</v>
      </c>
      <c r="G43" s="4">
        <v>43030</v>
      </c>
      <c r="H43" s="4">
        <v>44484</v>
      </c>
      <c r="I43" s="4">
        <v>21905</v>
      </c>
      <c r="J43" s="4">
        <v>16352</v>
      </c>
      <c r="K43" s="40">
        <f t="shared" si="9"/>
        <v>184085</v>
      </c>
      <c r="L43" s="41">
        <f t="shared" si="10"/>
        <v>1.9485563734144552E-2</v>
      </c>
      <c r="M43" s="41">
        <f t="shared" si="11"/>
        <v>4.7668196756932936E-2</v>
      </c>
      <c r="N43" s="41">
        <f t="shared" si="12"/>
        <v>7.7529402178341533E-2</v>
      </c>
      <c r="O43" s="41">
        <f t="shared" si="13"/>
        <v>0.17209441290708097</v>
      </c>
      <c r="P43" s="41">
        <f t="shared" si="14"/>
        <v>0.23375071298584893</v>
      </c>
      <c r="Q43" s="41">
        <f t="shared" si="15"/>
        <v>0.24164923812369285</v>
      </c>
      <c r="R43" s="41">
        <f t="shared" si="16"/>
        <v>0.11899394301545482</v>
      </c>
      <c r="S43" s="41">
        <f t="shared" si="17"/>
        <v>8.8828530298503405E-2</v>
      </c>
    </row>
    <row r="44" spans="1:19" ht="14.4" x14ac:dyDescent="0.3">
      <c r="A44" s="1" t="s">
        <v>84</v>
      </c>
      <c r="B44" s="2" t="s">
        <v>85</v>
      </c>
      <c r="C44" s="4">
        <v>5677</v>
      </c>
      <c r="D44" s="4">
        <v>20868</v>
      </c>
      <c r="E44" s="4">
        <v>33081</v>
      </c>
      <c r="F44" s="4">
        <v>77386</v>
      </c>
      <c r="G44" s="4">
        <v>93582</v>
      </c>
      <c r="H44" s="4">
        <v>95544</v>
      </c>
      <c r="I44" s="4">
        <v>46077</v>
      </c>
      <c r="J44" s="4">
        <v>44382</v>
      </c>
      <c r="K44" s="40">
        <f t="shared" si="9"/>
        <v>416597</v>
      </c>
      <c r="L44" s="41">
        <f t="shared" si="10"/>
        <v>1.3627078447516424E-2</v>
      </c>
      <c r="M44" s="41">
        <f t="shared" si="11"/>
        <v>5.0091575311392064E-2</v>
      </c>
      <c r="N44" s="41">
        <f t="shared" si="12"/>
        <v>7.9407676963588317E-2</v>
      </c>
      <c r="O44" s="41">
        <f t="shared" si="13"/>
        <v>0.18575745864708579</v>
      </c>
      <c r="P44" s="41">
        <f t="shared" si="14"/>
        <v>0.22463435886480221</v>
      </c>
      <c r="Q44" s="41">
        <f t="shared" si="15"/>
        <v>0.22934394630782268</v>
      </c>
      <c r="R44" s="41">
        <f t="shared" si="16"/>
        <v>0.11060329287056796</v>
      </c>
      <c r="S44" s="41">
        <f t="shared" si="17"/>
        <v>0.10653461258722459</v>
      </c>
    </row>
    <row r="45" spans="1:19" ht="14.4" x14ac:dyDescent="0.3">
      <c r="A45" s="1" t="s">
        <v>86</v>
      </c>
      <c r="B45" s="2" t="s">
        <v>87</v>
      </c>
      <c r="C45" s="4">
        <v>5679</v>
      </c>
      <c r="D45" s="4">
        <v>7694</v>
      </c>
      <c r="E45" s="4">
        <v>7408</v>
      </c>
      <c r="F45" s="4">
        <v>21095</v>
      </c>
      <c r="G45" s="4">
        <v>27245</v>
      </c>
      <c r="H45" s="4">
        <v>29227</v>
      </c>
      <c r="I45" s="4">
        <v>15193</v>
      </c>
      <c r="J45" s="4">
        <v>11651</v>
      </c>
      <c r="K45" s="40">
        <f t="shared" si="9"/>
        <v>125192</v>
      </c>
      <c r="L45" s="41">
        <f t="shared" si="10"/>
        <v>4.5362323471148318E-2</v>
      </c>
      <c r="M45" s="41">
        <f t="shared" si="11"/>
        <v>6.1457601124672502E-2</v>
      </c>
      <c r="N45" s="41">
        <f t="shared" si="12"/>
        <v>5.9173110102881975E-2</v>
      </c>
      <c r="O45" s="41">
        <f t="shared" si="13"/>
        <v>0.16850118218416513</v>
      </c>
      <c r="P45" s="41">
        <f t="shared" si="14"/>
        <v>0.21762572688350693</v>
      </c>
      <c r="Q45" s="41">
        <f t="shared" si="15"/>
        <v>0.23345740941913221</v>
      </c>
      <c r="R45" s="41">
        <f t="shared" si="16"/>
        <v>0.12135759473448783</v>
      </c>
      <c r="S45" s="41">
        <f t="shared" si="17"/>
        <v>9.3065052080005109E-2</v>
      </c>
    </row>
    <row r="46" spans="1:19" ht="14.4" x14ac:dyDescent="0.3">
      <c r="A46" s="1" t="s">
        <v>88</v>
      </c>
      <c r="B46" s="2" t="s">
        <v>89</v>
      </c>
      <c r="C46" s="4">
        <v>9271</v>
      </c>
      <c r="D46" s="4">
        <v>31038</v>
      </c>
      <c r="E46" s="4">
        <v>87894</v>
      </c>
      <c r="F46" s="4">
        <v>152109</v>
      </c>
      <c r="G46" s="4">
        <v>167985</v>
      </c>
      <c r="H46" s="4">
        <v>142435</v>
      </c>
      <c r="I46" s="4">
        <v>72559</v>
      </c>
      <c r="J46" s="4">
        <v>59759</v>
      </c>
      <c r="K46" s="40">
        <f t="shared" si="9"/>
        <v>723050</v>
      </c>
      <c r="L46" s="41">
        <f t="shared" si="10"/>
        <v>1.2822073162298596E-2</v>
      </c>
      <c r="M46" s="41">
        <f t="shared" si="11"/>
        <v>4.2926491943848975E-2</v>
      </c>
      <c r="N46" s="41">
        <f t="shared" si="12"/>
        <v>0.1215600580872692</v>
      </c>
      <c r="O46" s="41">
        <f t="shared" si="13"/>
        <v>0.21037134361385795</v>
      </c>
      <c r="P46" s="41">
        <f t="shared" si="14"/>
        <v>0.23232833137404052</v>
      </c>
      <c r="Q46" s="41">
        <f t="shared" si="15"/>
        <v>0.19699190927321761</v>
      </c>
      <c r="R46" s="41">
        <f t="shared" si="16"/>
        <v>0.10035128967567941</v>
      </c>
      <c r="S46" s="41">
        <f t="shared" si="17"/>
        <v>8.2648502869787699E-2</v>
      </c>
    </row>
    <row r="47" spans="1:19" ht="14.4" x14ac:dyDescent="0.3">
      <c r="A47" s="1" t="s">
        <v>90</v>
      </c>
      <c r="B47" s="2" t="s">
        <v>91</v>
      </c>
      <c r="C47" s="4">
        <v>4023</v>
      </c>
      <c r="D47" s="4">
        <v>13933</v>
      </c>
      <c r="E47" s="4">
        <v>41502</v>
      </c>
      <c r="F47" s="4">
        <v>76756</v>
      </c>
      <c r="G47" s="4">
        <v>86927</v>
      </c>
      <c r="H47" s="4">
        <v>83297</v>
      </c>
      <c r="I47" s="4">
        <v>38209</v>
      </c>
      <c r="J47" s="4">
        <v>32570</v>
      </c>
      <c r="K47" s="40">
        <f t="shared" si="9"/>
        <v>377217</v>
      </c>
      <c r="L47" s="41">
        <f t="shared" si="10"/>
        <v>1.066494882256102E-2</v>
      </c>
      <c r="M47" s="41">
        <f t="shared" si="11"/>
        <v>3.6936299265409568E-2</v>
      </c>
      <c r="N47" s="41">
        <f t="shared" si="12"/>
        <v>0.1100215525811403</v>
      </c>
      <c r="O47" s="41">
        <f t="shared" si="13"/>
        <v>0.2034796947115321</v>
      </c>
      <c r="P47" s="41">
        <f t="shared" si="14"/>
        <v>0.23044295458582195</v>
      </c>
      <c r="Q47" s="41">
        <f t="shared" si="15"/>
        <v>0.2208198464014082</v>
      </c>
      <c r="R47" s="41">
        <f t="shared" si="16"/>
        <v>0.10129182937142281</v>
      </c>
      <c r="S47" s="41">
        <f t="shared" si="17"/>
        <v>8.6342874260704056E-2</v>
      </c>
    </row>
    <row r="48" spans="1:19" ht="14.4" x14ac:dyDescent="0.3">
      <c r="A48" s="1" t="s">
        <v>92</v>
      </c>
      <c r="B48" s="2" t="s">
        <v>93</v>
      </c>
      <c r="C48" s="4">
        <v>4496</v>
      </c>
      <c r="D48" s="4">
        <v>6922</v>
      </c>
      <c r="E48" s="4">
        <v>7215</v>
      </c>
      <c r="F48" s="4">
        <v>15769</v>
      </c>
      <c r="G48" s="4">
        <v>21225</v>
      </c>
      <c r="H48" s="4">
        <v>17683</v>
      </c>
      <c r="I48" s="4">
        <v>13173</v>
      </c>
      <c r="J48" s="4">
        <v>8920</v>
      </c>
      <c r="K48" s="40">
        <f t="shared" si="9"/>
        <v>95403</v>
      </c>
      <c r="L48" s="41">
        <f t="shared" si="10"/>
        <v>4.712640063729652E-2</v>
      </c>
      <c r="M48" s="41">
        <f t="shared" si="11"/>
        <v>7.2555370376193626E-2</v>
      </c>
      <c r="N48" s="41">
        <f t="shared" si="12"/>
        <v>7.5626552624131316E-2</v>
      </c>
      <c r="O48" s="41">
        <f t="shared" si="13"/>
        <v>0.16528830330283115</v>
      </c>
      <c r="P48" s="41">
        <f t="shared" si="14"/>
        <v>0.22247728058866073</v>
      </c>
      <c r="Q48" s="41">
        <f t="shared" si="15"/>
        <v>0.18535056549584394</v>
      </c>
      <c r="R48" s="41">
        <f t="shared" si="16"/>
        <v>0.13807741894908965</v>
      </c>
      <c r="S48" s="41">
        <f t="shared" si="17"/>
        <v>9.3498108025953056E-2</v>
      </c>
    </row>
    <row r="49" spans="1:19" ht="14.4" x14ac:dyDescent="0.3">
      <c r="A49" s="1" t="s">
        <v>94</v>
      </c>
      <c r="B49" s="2" t="s">
        <v>95</v>
      </c>
      <c r="C49" s="4">
        <v>6571</v>
      </c>
      <c r="D49" s="4">
        <v>10469</v>
      </c>
      <c r="E49" s="4">
        <v>11632</v>
      </c>
      <c r="F49" s="4">
        <v>30237</v>
      </c>
      <c r="G49" s="4">
        <v>41768</v>
      </c>
      <c r="H49" s="4">
        <v>39642</v>
      </c>
      <c r="I49" s="4">
        <v>22399</v>
      </c>
      <c r="J49" s="4">
        <v>19709</v>
      </c>
      <c r="K49" s="40">
        <f t="shared" si="9"/>
        <v>182427</v>
      </c>
      <c r="L49" s="41">
        <f t="shared" si="10"/>
        <v>3.6019887407017601E-2</v>
      </c>
      <c r="M49" s="41">
        <f t="shared" si="11"/>
        <v>5.7387338497042653E-2</v>
      </c>
      <c r="N49" s="41">
        <f t="shared" si="12"/>
        <v>6.3762491297889023E-2</v>
      </c>
      <c r="O49" s="41">
        <f t="shared" si="13"/>
        <v>0.16574849117729284</v>
      </c>
      <c r="P49" s="41">
        <f t="shared" si="14"/>
        <v>0.22895733635920121</v>
      </c>
      <c r="Q49" s="41">
        <f t="shared" si="15"/>
        <v>0.21730335970004441</v>
      </c>
      <c r="R49" s="41">
        <f t="shared" si="16"/>
        <v>0.12278335991931019</v>
      </c>
      <c r="S49" s="41">
        <f t="shared" si="17"/>
        <v>0.10803773564220209</v>
      </c>
    </row>
    <row r="50" spans="1:19" ht="14.4" x14ac:dyDescent="0.3">
      <c r="A50" s="1" t="s">
        <v>96</v>
      </c>
      <c r="B50" s="2" t="s">
        <v>97</v>
      </c>
      <c r="C50" s="4">
        <v>3381</v>
      </c>
      <c r="D50" s="4">
        <v>2706</v>
      </c>
      <c r="E50" s="4">
        <v>2670</v>
      </c>
      <c r="F50" s="4">
        <v>7431</v>
      </c>
      <c r="G50" s="4">
        <v>10310</v>
      </c>
      <c r="H50" s="4">
        <v>7209</v>
      </c>
      <c r="I50" s="4">
        <v>5195</v>
      </c>
      <c r="J50" s="4">
        <v>4535</v>
      </c>
      <c r="K50" s="40">
        <f t="shared" si="9"/>
        <v>43437</v>
      </c>
      <c r="L50" s="41">
        <f t="shared" si="10"/>
        <v>7.7836867186960423E-2</v>
      </c>
      <c r="M50" s="41">
        <f t="shared" si="11"/>
        <v>6.2297119966848537E-2</v>
      </c>
      <c r="N50" s="41">
        <f t="shared" si="12"/>
        <v>6.1468333448442575E-2</v>
      </c>
      <c r="O50" s="41">
        <f t="shared" si="13"/>
        <v>0.17107535050763173</v>
      </c>
      <c r="P50" s="41">
        <f t="shared" si="14"/>
        <v>0.23735525013237563</v>
      </c>
      <c r="Q50" s="41">
        <f t="shared" si="15"/>
        <v>0.16596450031079493</v>
      </c>
      <c r="R50" s="41">
        <f t="shared" si="16"/>
        <v>0.11959849897552778</v>
      </c>
      <c r="S50" s="41">
        <f t="shared" si="17"/>
        <v>0.10440407947141837</v>
      </c>
    </row>
    <row r="51" spans="1:19" ht="14.4" x14ac:dyDescent="0.3">
      <c r="A51" s="1" t="s">
        <v>98</v>
      </c>
      <c r="B51" s="2" t="s">
        <v>99</v>
      </c>
      <c r="C51" s="4">
        <v>10644</v>
      </c>
      <c r="D51" s="4">
        <v>18688</v>
      </c>
      <c r="E51" s="4">
        <v>38953</v>
      </c>
      <c r="F51" s="4">
        <v>82877</v>
      </c>
      <c r="G51" s="4">
        <v>98405</v>
      </c>
      <c r="H51" s="4">
        <v>109536</v>
      </c>
      <c r="I51" s="4">
        <v>45177</v>
      </c>
      <c r="J51" s="4">
        <v>33199</v>
      </c>
      <c r="K51" s="40">
        <f t="shared" si="9"/>
        <v>437479</v>
      </c>
      <c r="L51" s="41">
        <f t="shared" si="10"/>
        <v>2.4330310712057036E-2</v>
      </c>
      <c r="M51" s="41">
        <f t="shared" si="11"/>
        <v>4.2717479010421069E-2</v>
      </c>
      <c r="N51" s="41">
        <f t="shared" si="12"/>
        <v>8.9039702477147473E-2</v>
      </c>
      <c r="O51" s="41">
        <f t="shared" si="13"/>
        <v>0.18944223608447491</v>
      </c>
      <c r="P51" s="41">
        <f t="shared" si="14"/>
        <v>0.22493651123825373</v>
      </c>
      <c r="Q51" s="41">
        <f t="shared" si="15"/>
        <v>0.25038001824087558</v>
      </c>
      <c r="R51" s="41">
        <f t="shared" si="16"/>
        <v>0.10326667108592641</v>
      </c>
      <c r="S51" s="41">
        <f t="shared" si="17"/>
        <v>7.588707115084381E-2</v>
      </c>
    </row>
    <row r="52" spans="1:19" ht="14.4" x14ac:dyDescent="0.3">
      <c r="A52" s="1" t="s">
        <v>100</v>
      </c>
      <c r="B52" s="2" t="s">
        <v>101</v>
      </c>
      <c r="C52" s="4">
        <v>10290</v>
      </c>
      <c r="D52" s="4">
        <v>13937</v>
      </c>
      <c r="E52" s="4">
        <v>17548</v>
      </c>
      <c r="F52" s="4">
        <v>46857</v>
      </c>
      <c r="G52" s="4">
        <v>65142</v>
      </c>
      <c r="H52" s="4">
        <v>63709</v>
      </c>
      <c r="I52" s="4">
        <v>35135</v>
      </c>
      <c r="J52" s="4">
        <v>26470</v>
      </c>
      <c r="K52" s="40">
        <f t="shared" si="9"/>
        <v>279088</v>
      </c>
      <c r="L52" s="41">
        <f t="shared" si="10"/>
        <v>3.6870091154044604E-2</v>
      </c>
      <c r="M52" s="41">
        <f t="shared" si="11"/>
        <v>4.9937654073267217E-2</v>
      </c>
      <c r="N52" s="41">
        <f t="shared" si="12"/>
        <v>6.287622541993923E-2</v>
      </c>
      <c r="O52" s="41">
        <f t="shared" si="13"/>
        <v>0.16789328097230982</v>
      </c>
      <c r="P52" s="41">
        <f t="shared" si="14"/>
        <v>0.23341025053029868</v>
      </c>
      <c r="Q52" s="41">
        <f t="shared" si="15"/>
        <v>0.22827566932293758</v>
      </c>
      <c r="R52" s="41">
        <f t="shared" si="16"/>
        <v>0.1258921917101416</v>
      </c>
      <c r="S52" s="41">
        <f t="shared" si="17"/>
        <v>9.484463681706129E-2</v>
      </c>
    </row>
    <row r="53" spans="1:19" ht="14.4" x14ac:dyDescent="0.3">
      <c r="A53" s="1" t="s">
        <v>102</v>
      </c>
      <c r="B53" s="2" t="s">
        <v>103</v>
      </c>
      <c r="C53" s="4">
        <v>10382</v>
      </c>
      <c r="D53" s="4">
        <v>12055</v>
      </c>
      <c r="E53" s="4">
        <v>30888</v>
      </c>
      <c r="F53" s="4">
        <v>60249</v>
      </c>
      <c r="G53" s="4">
        <v>77822</v>
      </c>
      <c r="H53" s="4">
        <v>74878</v>
      </c>
      <c r="I53" s="4">
        <v>31421</v>
      </c>
      <c r="J53" s="4">
        <v>32271</v>
      </c>
      <c r="K53" s="40">
        <f t="shared" si="9"/>
        <v>329966</v>
      </c>
      <c r="L53" s="41">
        <f t="shared" si="10"/>
        <v>3.1463847790378405E-2</v>
      </c>
      <c r="M53" s="41">
        <f t="shared" si="11"/>
        <v>3.6534067146312042E-2</v>
      </c>
      <c r="N53" s="41">
        <f t="shared" si="12"/>
        <v>9.3609644630052793E-2</v>
      </c>
      <c r="O53" s="41">
        <f t="shared" si="13"/>
        <v>0.18259153973439687</v>
      </c>
      <c r="P53" s="41">
        <f t="shared" si="14"/>
        <v>0.23584854197099095</v>
      </c>
      <c r="Q53" s="41">
        <f t="shared" si="15"/>
        <v>0.22692641059987997</v>
      </c>
      <c r="R53" s="41">
        <f t="shared" si="16"/>
        <v>9.5224962571901342E-2</v>
      </c>
      <c r="S53" s="41">
        <f t="shared" si="17"/>
        <v>9.78009855560876E-2</v>
      </c>
    </row>
    <row r="54" spans="1:19" ht="14.4" x14ac:dyDescent="0.3">
      <c r="A54" s="1" t="s">
        <v>104</v>
      </c>
      <c r="B54" s="2" t="s">
        <v>105</v>
      </c>
      <c r="C54" s="4">
        <v>2906</v>
      </c>
      <c r="D54" s="4">
        <v>3992</v>
      </c>
      <c r="E54" s="4">
        <v>6189</v>
      </c>
      <c r="F54" s="4">
        <v>15649</v>
      </c>
      <c r="G54" s="4">
        <v>25408</v>
      </c>
      <c r="H54" s="4">
        <v>28336</v>
      </c>
      <c r="I54" s="4">
        <v>12475</v>
      </c>
      <c r="J54" s="4">
        <v>12176</v>
      </c>
      <c r="K54" s="40">
        <f t="shared" si="9"/>
        <v>107131</v>
      </c>
      <c r="L54" s="41">
        <f t="shared" si="10"/>
        <v>2.7125668573988855E-2</v>
      </c>
      <c r="M54" s="41">
        <f t="shared" si="11"/>
        <v>3.7262790415472646E-2</v>
      </c>
      <c r="N54" s="41">
        <f t="shared" si="12"/>
        <v>5.7770393256853757E-2</v>
      </c>
      <c r="O54" s="41">
        <f t="shared" si="13"/>
        <v>0.14607349880053391</v>
      </c>
      <c r="P54" s="41">
        <f t="shared" si="14"/>
        <v>0.23716757987883993</v>
      </c>
      <c r="Q54" s="41">
        <f t="shared" si="15"/>
        <v>0.26449860451223267</v>
      </c>
      <c r="R54" s="41">
        <f t="shared" si="16"/>
        <v>0.11644622004835202</v>
      </c>
      <c r="S54" s="41">
        <f t="shared" si="17"/>
        <v>0.11365524451372619</v>
      </c>
    </row>
    <row r="55" spans="1:19" ht="14.4" x14ac:dyDescent="0.3">
      <c r="A55" s="1" t="s">
        <v>106</v>
      </c>
      <c r="B55" s="2" t="s">
        <v>107</v>
      </c>
      <c r="C55" s="4">
        <v>9272</v>
      </c>
      <c r="D55" s="4">
        <v>7390</v>
      </c>
      <c r="E55" s="4">
        <v>11140</v>
      </c>
      <c r="F55" s="4">
        <v>28297</v>
      </c>
      <c r="G55" s="4">
        <v>37093</v>
      </c>
      <c r="H55" s="4">
        <v>45778</v>
      </c>
      <c r="I55" s="4">
        <v>19103</v>
      </c>
      <c r="J55" s="4">
        <v>11335</v>
      </c>
      <c r="K55" s="40">
        <f t="shared" si="9"/>
        <v>169408</v>
      </c>
      <c r="L55" s="41">
        <f t="shared" si="10"/>
        <v>5.4731771817151491E-2</v>
      </c>
      <c r="M55" s="41">
        <f t="shared" si="11"/>
        <v>4.3622497166603699E-2</v>
      </c>
      <c r="N55" s="41">
        <f t="shared" si="12"/>
        <v>6.5758405742349826E-2</v>
      </c>
      <c r="O55" s="41">
        <f t="shared" si="13"/>
        <v>0.16703461465810351</v>
      </c>
      <c r="P55" s="41">
        <f t="shared" si="14"/>
        <v>0.21895660181337362</v>
      </c>
      <c r="Q55" s="41">
        <f t="shared" si="15"/>
        <v>0.27022336607480169</v>
      </c>
      <c r="R55" s="41">
        <f t="shared" si="16"/>
        <v>0.11276326973932754</v>
      </c>
      <c r="S55" s="41">
        <f t="shared" si="17"/>
        <v>6.6909472988288629E-2</v>
      </c>
    </row>
    <row r="56" spans="1:19" ht="14.4" x14ac:dyDescent="0.3">
      <c r="A56" s="1" t="s">
        <v>108</v>
      </c>
      <c r="B56" s="2" t="s">
        <v>109</v>
      </c>
      <c r="C56" s="4">
        <v>2939</v>
      </c>
      <c r="D56" s="4">
        <v>14024</v>
      </c>
      <c r="E56" s="4">
        <v>43936</v>
      </c>
      <c r="F56" s="4">
        <v>82956</v>
      </c>
      <c r="G56" s="4">
        <v>104491</v>
      </c>
      <c r="H56" s="4">
        <v>85428</v>
      </c>
      <c r="I56" s="4">
        <v>39650</v>
      </c>
      <c r="J56" s="4">
        <v>43804</v>
      </c>
      <c r="K56" s="40">
        <f t="shared" si="9"/>
        <v>417228</v>
      </c>
      <c r="L56" s="41">
        <f t="shared" si="10"/>
        <v>7.0441101747725464E-3</v>
      </c>
      <c r="M56" s="41">
        <f t="shared" si="11"/>
        <v>3.3612317485883017E-2</v>
      </c>
      <c r="N56" s="41">
        <f t="shared" si="12"/>
        <v>0.10530453373215604</v>
      </c>
      <c r="O56" s="41">
        <f t="shared" si="13"/>
        <v>0.19882654088412091</v>
      </c>
      <c r="P56" s="41">
        <f t="shared" si="14"/>
        <v>0.25044100587688267</v>
      </c>
      <c r="Q56" s="41">
        <f t="shared" si="15"/>
        <v>0.20475135896919669</v>
      </c>
      <c r="R56" s="41">
        <f t="shared" si="16"/>
        <v>9.5031972926073988E-2</v>
      </c>
      <c r="S56" s="41">
        <f t="shared" si="17"/>
        <v>0.10498815995091412</v>
      </c>
    </row>
    <row r="57" spans="1:19" ht="14.4" x14ac:dyDescent="0.3">
      <c r="A57" s="1" t="s">
        <v>110</v>
      </c>
      <c r="B57" s="2" t="s">
        <v>111</v>
      </c>
      <c r="C57" s="4">
        <v>3537</v>
      </c>
      <c r="D57" s="4">
        <v>4305</v>
      </c>
      <c r="E57" s="4">
        <v>6511</v>
      </c>
      <c r="F57" s="4">
        <v>16805</v>
      </c>
      <c r="G57" s="4">
        <v>27986</v>
      </c>
      <c r="H57" s="4">
        <v>28084</v>
      </c>
      <c r="I57" s="4">
        <v>12004</v>
      </c>
      <c r="J57" s="4">
        <v>13552</v>
      </c>
      <c r="K57" s="40">
        <f t="shared" si="9"/>
        <v>112784</v>
      </c>
      <c r="L57" s="41">
        <f t="shared" si="10"/>
        <v>3.1360831323591999E-2</v>
      </c>
      <c r="M57" s="41">
        <f t="shared" si="11"/>
        <v>3.8170307845084406E-2</v>
      </c>
      <c r="N57" s="41">
        <f t="shared" si="12"/>
        <v>5.7729819832600372E-2</v>
      </c>
      <c r="O57" s="41">
        <f t="shared" si="13"/>
        <v>0.14900163143708328</v>
      </c>
      <c r="P57" s="41">
        <f t="shared" si="14"/>
        <v>0.24813803376365443</v>
      </c>
      <c r="Q57" s="41">
        <f t="shared" si="15"/>
        <v>0.24900695134061568</v>
      </c>
      <c r="R57" s="41">
        <f t="shared" si="16"/>
        <v>0.10643353667186835</v>
      </c>
      <c r="S57" s="41">
        <f t="shared" si="17"/>
        <v>0.12015888778550149</v>
      </c>
    </row>
    <row r="58" spans="1:19" ht="14.4" x14ac:dyDescent="0.3">
      <c r="A58" s="1" t="s">
        <v>112</v>
      </c>
      <c r="B58" s="2" t="s">
        <v>113</v>
      </c>
      <c r="C58" s="4">
        <v>10138</v>
      </c>
      <c r="D58" s="4">
        <v>21639</v>
      </c>
      <c r="E58" s="4">
        <v>30965</v>
      </c>
      <c r="F58" s="4">
        <v>70885</v>
      </c>
      <c r="G58" s="4">
        <v>89449</v>
      </c>
      <c r="H58" s="4">
        <v>88711</v>
      </c>
      <c r="I58" s="4">
        <v>51207</v>
      </c>
      <c r="J58" s="4">
        <v>38307</v>
      </c>
      <c r="K58" s="40">
        <f t="shared" si="9"/>
        <v>401301</v>
      </c>
      <c r="L58" s="41">
        <f t="shared" si="10"/>
        <v>2.5262832636848649E-2</v>
      </c>
      <c r="M58" s="41">
        <f t="shared" si="11"/>
        <v>5.3922118310196089E-2</v>
      </c>
      <c r="N58" s="41">
        <f t="shared" si="12"/>
        <v>7.7161532116790138E-2</v>
      </c>
      <c r="O58" s="41">
        <f t="shared" si="13"/>
        <v>0.17663798495393732</v>
      </c>
      <c r="P58" s="41">
        <f t="shared" si="14"/>
        <v>0.22289752579734415</v>
      </c>
      <c r="Q58" s="41">
        <f t="shared" si="15"/>
        <v>0.22105850720531472</v>
      </c>
      <c r="R58" s="41">
        <f t="shared" si="16"/>
        <v>0.12760247295670832</v>
      </c>
      <c r="S58" s="41">
        <f t="shared" si="17"/>
        <v>9.5457026022860644E-2</v>
      </c>
    </row>
    <row r="59" spans="1:19" ht="14.4" x14ac:dyDescent="0.3">
      <c r="A59" s="1" t="s">
        <v>114</v>
      </c>
      <c r="B59" s="2" t="s">
        <v>115</v>
      </c>
      <c r="C59" s="4">
        <v>3217</v>
      </c>
      <c r="D59" s="4">
        <v>19618</v>
      </c>
      <c r="E59" s="4">
        <v>52548</v>
      </c>
      <c r="F59" s="4">
        <v>110312</v>
      </c>
      <c r="G59" s="4">
        <v>152401</v>
      </c>
      <c r="H59" s="4">
        <v>143329</v>
      </c>
      <c r="I59" s="4">
        <v>59341</v>
      </c>
      <c r="J59" s="4">
        <v>79441</v>
      </c>
      <c r="K59" s="40">
        <f t="shared" si="9"/>
        <v>620207</v>
      </c>
      <c r="L59" s="41">
        <f t="shared" si="10"/>
        <v>5.1869778960895313E-3</v>
      </c>
      <c r="M59" s="41">
        <f t="shared" si="11"/>
        <v>3.1631374686193481E-2</v>
      </c>
      <c r="N59" s="41">
        <f t="shared" si="12"/>
        <v>8.4726550974110262E-2</v>
      </c>
      <c r="O59" s="41">
        <f t="shared" si="13"/>
        <v>0.17786319728735728</v>
      </c>
      <c r="P59" s="41">
        <f t="shared" si="14"/>
        <v>0.24572602373078667</v>
      </c>
      <c r="Q59" s="41">
        <f t="shared" si="15"/>
        <v>0.23109864932191995</v>
      </c>
      <c r="R59" s="41">
        <f t="shared" si="16"/>
        <v>9.5679345766816568E-2</v>
      </c>
      <c r="S59" s="41">
        <f t="shared" si="17"/>
        <v>0.12808788033672627</v>
      </c>
    </row>
    <row r="60" spans="1:19" ht="14.4" x14ac:dyDescent="0.3">
      <c r="A60" s="1" t="s">
        <v>116</v>
      </c>
      <c r="B60" s="2" t="s">
        <v>117</v>
      </c>
      <c r="C60" s="4">
        <v>3793</v>
      </c>
      <c r="D60" s="4">
        <v>5644</v>
      </c>
      <c r="E60" s="4">
        <v>7655</v>
      </c>
      <c r="F60" s="4">
        <v>18426</v>
      </c>
      <c r="G60" s="4">
        <v>28473</v>
      </c>
      <c r="H60" s="4">
        <v>27257</v>
      </c>
      <c r="I60" s="4">
        <v>16930</v>
      </c>
      <c r="J60" s="4">
        <v>14567</v>
      </c>
      <c r="K60" s="40">
        <f t="shared" si="9"/>
        <v>122745</v>
      </c>
      <c r="L60" s="41">
        <f t="shared" si="10"/>
        <v>3.090146238135973E-2</v>
      </c>
      <c r="M60" s="41">
        <f t="shared" si="11"/>
        <v>4.5981506375005095E-2</v>
      </c>
      <c r="N60" s="41">
        <f t="shared" si="12"/>
        <v>6.2365065786793759E-2</v>
      </c>
      <c r="O60" s="41">
        <f t="shared" si="13"/>
        <v>0.15011609434192838</v>
      </c>
      <c r="P60" s="41">
        <f t="shared" si="14"/>
        <v>0.23196871562996457</v>
      </c>
      <c r="Q60" s="41">
        <f t="shared" si="15"/>
        <v>0.22206199845207544</v>
      </c>
      <c r="R60" s="41">
        <f t="shared" si="16"/>
        <v>0.13792822518228848</v>
      </c>
      <c r="S60" s="41">
        <f t="shared" si="17"/>
        <v>0.11867693185058455</v>
      </c>
    </row>
    <row r="61" spans="1:19" ht="14.4" x14ac:dyDescent="0.3">
      <c r="A61" s="1" t="s">
        <v>118</v>
      </c>
      <c r="B61" s="2" t="s">
        <v>119</v>
      </c>
      <c r="C61" s="4">
        <v>7763</v>
      </c>
      <c r="D61" s="4">
        <v>45594</v>
      </c>
      <c r="E61" s="4">
        <v>147874</v>
      </c>
      <c r="F61" s="4">
        <v>273832</v>
      </c>
      <c r="G61" s="4">
        <v>329242</v>
      </c>
      <c r="H61" s="4">
        <v>319098</v>
      </c>
      <c r="I61" s="4">
        <v>135770</v>
      </c>
      <c r="J61" s="4">
        <v>199332</v>
      </c>
      <c r="K61" s="40">
        <f t="shared" si="9"/>
        <v>1458505</v>
      </c>
      <c r="L61" s="41">
        <f t="shared" si="10"/>
        <v>5.3225734570673394E-3</v>
      </c>
      <c r="M61" s="41">
        <f t="shared" si="11"/>
        <v>3.1260777302786071E-2</v>
      </c>
      <c r="N61" s="41">
        <f t="shared" si="12"/>
        <v>0.10138737954275097</v>
      </c>
      <c r="O61" s="41">
        <f t="shared" si="13"/>
        <v>0.18774841361531158</v>
      </c>
      <c r="P61" s="41">
        <f t="shared" si="14"/>
        <v>0.22573937010843295</v>
      </c>
      <c r="Q61" s="41">
        <f t="shared" si="15"/>
        <v>0.21878430310489166</v>
      </c>
      <c r="R61" s="41">
        <f t="shared" si="16"/>
        <v>9.3088470728588515E-2</v>
      </c>
      <c r="S61" s="41">
        <f t="shared" si="17"/>
        <v>0.13666871214017093</v>
      </c>
    </row>
    <row r="62" spans="1:19" ht="14.4" x14ac:dyDescent="0.3">
      <c r="A62" s="1" t="s">
        <v>120</v>
      </c>
      <c r="B62" s="2" t="s">
        <v>121</v>
      </c>
      <c r="C62" s="4">
        <v>3549</v>
      </c>
      <c r="D62" s="4">
        <v>17567</v>
      </c>
      <c r="E62" s="4">
        <v>46129</v>
      </c>
      <c r="F62" s="4">
        <v>94535</v>
      </c>
      <c r="G62" s="4">
        <v>112507</v>
      </c>
      <c r="H62" s="4">
        <v>107646</v>
      </c>
      <c r="I62" s="4">
        <v>43309</v>
      </c>
      <c r="J62" s="4">
        <v>52406</v>
      </c>
      <c r="K62" s="40">
        <f t="shared" si="9"/>
        <v>477648</v>
      </c>
      <c r="L62" s="41">
        <f t="shared" si="10"/>
        <v>7.4301577730881314E-3</v>
      </c>
      <c r="M62" s="41">
        <f t="shared" si="11"/>
        <v>3.677812950122266E-2</v>
      </c>
      <c r="N62" s="41">
        <f t="shared" si="12"/>
        <v>9.6575302314675246E-2</v>
      </c>
      <c r="O62" s="41">
        <f t="shared" si="13"/>
        <v>0.19791771346263357</v>
      </c>
      <c r="P62" s="41">
        <f t="shared" si="14"/>
        <v>0.23554374769704886</v>
      </c>
      <c r="Q62" s="41">
        <f t="shared" si="15"/>
        <v>0.22536679730680334</v>
      </c>
      <c r="R62" s="41">
        <f t="shared" si="16"/>
        <v>9.0671373061333868E-2</v>
      </c>
      <c r="S62" s="41">
        <f t="shared" si="17"/>
        <v>0.10971677888319432</v>
      </c>
    </row>
    <row r="63" spans="1:19" ht="14.4" x14ac:dyDescent="0.3">
      <c r="A63" s="1" t="s">
        <v>122</v>
      </c>
      <c r="B63" s="2" t="s">
        <v>123</v>
      </c>
      <c r="C63" s="4">
        <v>6004</v>
      </c>
      <c r="D63" s="4">
        <v>8663</v>
      </c>
      <c r="E63" s="4">
        <v>9325</v>
      </c>
      <c r="F63" s="4">
        <v>25164</v>
      </c>
      <c r="G63" s="4">
        <v>35188</v>
      </c>
      <c r="H63" s="4">
        <v>42425</v>
      </c>
      <c r="I63" s="4">
        <v>20505</v>
      </c>
      <c r="J63" s="4">
        <v>16370</v>
      </c>
      <c r="K63" s="40">
        <f t="shared" si="9"/>
        <v>163644</v>
      </c>
      <c r="L63" s="41">
        <f t="shared" si="10"/>
        <v>3.6689398939160615E-2</v>
      </c>
      <c r="M63" s="41">
        <f t="shared" si="11"/>
        <v>5.2938085111583683E-2</v>
      </c>
      <c r="N63" s="41">
        <f t="shared" si="12"/>
        <v>5.6983451883356552E-2</v>
      </c>
      <c r="O63" s="41">
        <f t="shared" si="13"/>
        <v>0.15377282393488304</v>
      </c>
      <c r="P63" s="41">
        <f t="shared" si="14"/>
        <v>0.21502774314976411</v>
      </c>
      <c r="Q63" s="41">
        <f t="shared" si="15"/>
        <v>0.2592517904720002</v>
      </c>
      <c r="R63" s="41">
        <f t="shared" si="16"/>
        <v>0.12530248588399209</v>
      </c>
      <c r="S63" s="41">
        <f t="shared" si="17"/>
        <v>0.10003422062525971</v>
      </c>
    </row>
    <row r="64" spans="1:19" ht="14.4" x14ac:dyDescent="0.3">
      <c r="A64" s="1" t="s">
        <v>124</v>
      </c>
      <c r="B64" s="2" t="s">
        <v>125</v>
      </c>
      <c r="C64" s="4">
        <v>8471</v>
      </c>
      <c r="D64" s="4">
        <v>27547</v>
      </c>
      <c r="E64" s="4">
        <v>50593</v>
      </c>
      <c r="F64" s="4">
        <v>137108</v>
      </c>
      <c r="G64" s="4">
        <v>194523</v>
      </c>
      <c r="H64" s="4">
        <v>198417</v>
      </c>
      <c r="I64" s="4">
        <v>86582</v>
      </c>
      <c r="J64" s="4">
        <v>130710</v>
      </c>
      <c r="K64" s="40">
        <f t="shared" si="9"/>
        <v>833951</v>
      </c>
      <c r="L64" s="41">
        <f t="shared" si="10"/>
        <v>1.0157671134155364E-2</v>
      </c>
      <c r="M64" s="41">
        <f t="shared" si="11"/>
        <v>3.303191674330986E-2</v>
      </c>
      <c r="N64" s="41">
        <f t="shared" si="12"/>
        <v>6.0666633890960019E-2</v>
      </c>
      <c r="O64" s="41">
        <f t="shared" si="13"/>
        <v>0.16440774098238387</v>
      </c>
      <c r="P64" s="41">
        <f t="shared" si="14"/>
        <v>0.23325471160775632</v>
      </c>
      <c r="Q64" s="41">
        <f t="shared" si="15"/>
        <v>0.23792405069362588</v>
      </c>
      <c r="R64" s="41">
        <f t="shared" si="16"/>
        <v>0.10382144754308106</v>
      </c>
      <c r="S64" s="41">
        <f t="shared" si="17"/>
        <v>0.15673582740472761</v>
      </c>
    </row>
    <row r="65" spans="1:19" ht="14.4" x14ac:dyDescent="0.3">
      <c r="A65" s="1" t="s">
        <v>126</v>
      </c>
      <c r="B65" s="2" t="s">
        <v>127</v>
      </c>
      <c r="C65" s="4">
        <v>7452</v>
      </c>
      <c r="D65" s="4">
        <v>16718</v>
      </c>
      <c r="E65" s="4">
        <v>36712</v>
      </c>
      <c r="F65" s="4">
        <v>69972</v>
      </c>
      <c r="G65" s="4">
        <v>85955</v>
      </c>
      <c r="H65" s="4">
        <v>72869</v>
      </c>
      <c r="I65" s="4">
        <v>40688</v>
      </c>
      <c r="J65" s="4">
        <v>34123</v>
      </c>
      <c r="K65" s="40">
        <f t="shared" si="9"/>
        <v>364489</v>
      </c>
      <c r="L65" s="41">
        <f t="shared" si="10"/>
        <v>2.044506144218344E-2</v>
      </c>
      <c r="M65" s="41">
        <f t="shared" si="11"/>
        <v>4.586695346087262E-2</v>
      </c>
      <c r="N65" s="41">
        <f t="shared" si="12"/>
        <v>0.10072183248328481</v>
      </c>
      <c r="O65" s="41">
        <f t="shared" si="13"/>
        <v>0.1919728716092941</v>
      </c>
      <c r="P65" s="41">
        <f t="shared" si="14"/>
        <v>0.23582330330956489</v>
      </c>
      <c r="Q65" s="41">
        <f t="shared" si="15"/>
        <v>0.19992098526978866</v>
      </c>
      <c r="R65" s="41">
        <f t="shared" si="16"/>
        <v>0.11163025495968329</v>
      </c>
      <c r="S65" s="41">
        <f t="shared" si="17"/>
        <v>9.3618737465328172E-2</v>
      </c>
    </row>
    <row r="66" spans="1:19" ht="14.4" x14ac:dyDescent="0.3">
      <c r="A66" s="1" t="s">
        <v>128</v>
      </c>
      <c r="B66" s="2" t="s">
        <v>129</v>
      </c>
      <c r="C66" s="4">
        <v>9436</v>
      </c>
      <c r="D66" s="4">
        <v>20341</v>
      </c>
      <c r="E66" s="4">
        <v>34672</v>
      </c>
      <c r="F66" s="4">
        <v>70374</v>
      </c>
      <c r="G66" s="4">
        <v>88833</v>
      </c>
      <c r="H66" s="4">
        <v>66286</v>
      </c>
      <c r="I66" s="4">
        <v>39619</v>
      </c>
      <c r="J66" s="4">
        <v>36450</v>
      </c>
      <c r="K66" s="40">
        <f t="shared" ref="K66:K97" si="18">SUM(C66:J66)</f>
        <v>366011</v>
      </c>
      <c r="L66" s="41">
        <f t="shared" ref="L66:L97" si="19">C66/$K66</f>
        <v>2.5780645936870749E-2</v>
      </c>
      <c r="M66" s="41">
        <f t="shared" ref="M66:M97" si="20">D66/$K66</f>
        <v>5.5574832450390833E-2</v>
      </c>
      <c r="N66" s="41">
        <f t="shared" ref="N66:N97" si="21">E66/$K66</f>
        <v>9.4729393378887514E-2</v>
      </c>
      <c r="O66" s="41">
        <f t="shared" ref="O66:O97" si="22">F66/$K66</f>
        <v>0.19227290983057888</v>
      </c>
      <c r="P66" s="41">
        <f t="shared" ref="P66:P97" si="23">G66/$K66</f>
        <v>0.24270582031687571</v>
      </c>
      <c r="Q66" s="41">
        <f t="shared" ref="Q66:Q97" si="24">H66/$K66</f>
        <v>0.18110384660570311</v>
      </c>
      <c r="R66" s="41">
        <f t="shared" ref="R66:R97" si="25">I66/$K66</f>
        <v>0.10824538060331521</v>
      </c>
      <c r="S66" s="41">
        <f t="shared" ref="S66:S97" si="26">J66/$K66</f>
        <v>9.9587170877378006E-2</v>
      </c>
    </row>
    <row r="67" spans="1:19" ht="14.4" x14ac:dyDescent="0.3">
      <c r="A67" s="1" t="s">
        <v>130</v>
      </c>
      <c r="B67" s="2" t="s">
        <v>131</v>
      </c>
      <c r="C67" s="4">
        <v>3191</v>
      </c>
      <c r="D67" s="4">
        <v>7384</v>
      </c>
      <c r="E67" s="4">
        <v>9130</v>
      </c>
      <c r="F67" s="4">
        <v>22614</v>
      </c>
      <c r="G67" s="4">
        <v>33780</v>
      </c>
      <c r="H67" s="4">
        <v>23234</v>
      </c>
      <c r="I67" s="4">
        <v>15729</v>
      </c>
      <c r="J67" s="4">
        <v>13125</v>
      </c>
      <c r="K67" s="40">
        <f t="shared" si="18"/>
        <v>128187</v>
      </c>
      <c r="L67" s="41">
        <f t="shared" si="19"/>
        <v>2.4893319915436043E-2</v>
      </c>
      <c r="M67" s="41">
        <f t="shared" si="20"/>
        <v>5.7603345112998978E-2</v>
      </c>
      <c r="N67" s="41">
        <f t="shared" si="21"/>
        <v>7.1224071083651225E-2</v>
      </c>
      <c r="O67" s="41">
        <f t="shared" si="22"/>
        <v>0.17641414496009736</v>
      </c>
      <c r="P67" s="41">
        <f t="shared" si="23"/>
        <v>0.26352126190643355</v>
      </c>
      <c r="Q67" s="41">
        <f t="shared" si="24"/>
        <v>0.18125082886720181</v>
      </c>
      <c r="R67" s="41">
        <f t="shared" si="25"/>
        <v>0.12270355028200988</v>
      </c>
      <c r="S67" s="41">
        <f t="shared" si="26"/>
        <v>0.10238947787217112</v>
      </c>
    </row>
    <row r="68" spans="1:19" ht="14.4" x14ac:dyDescent="0.3">
      <c r="A68" s="1" t="s">
        <v>132</v>
      </c>
      <c r="B68" s="2" t="s">
        <v>133</v>
      </c>
      <c r="C68" s="4">
        <v>3554</v>
      </c>
      <c r="D68" s="4">
        <v>15590</v>
      </c>
      <c r="E68" s="4">
        <v>17339</v>
      </c>
      <c r="F68" s="4">
        <v>40690</v>
      </c>
      <c r="G68" s="4">
        <v>58918</v>
      </c>
      <c r="H68" s="4">
        <v>41351</v>
      </c>
      <c r="I68" s="4">
        <v>30880</v>
      </c>
      <c r="J68" s="4">
        <v>34742</v>
      </c>
      <c r="K68" s="40">
        <f t="shared" si="18"/>
        <v>243064</v>
      </c>
      <c r="L68" s="41">
        <f t="shared" si="19"/>
        <v>1.4621663430207682E-2</v>
      </c>
      <c r="M68" s="41">
        <f t="shared" si="20"/>
        <v>6.4139485896718557E-2</v>
      </c>
      <c r="N68" s="41">
        <f t="shared" si="21"/>
        <v>7.1335121614060498E-2</v>
      </c>
      <c r="O68" s="41">
        <f t="shared" si="22"/>
        <v>0.16740446960471317</v>
      </c>
      <c r="P68" s="41">
        <f t="shared" si="23"/>
        <v>0.24239706414771417</v>
      </c>
      <c r="Q68" s="41">
        <f t="shared" si="24"/>
        <v>0.1701239179804496</v>
      </c>
      <c r="R68" s="41">
        <f t="shared" si="25"/>
        <v>0.12704472896027383</v>
      </c>
      <c r="S68" s="41">
        <f t="shared" si="26"/>
        <v>0.1429335483658625</v>
      </c>
    </row>
    <row r="69" spans="1:19" ht="14.4" x14ac:dyDescent="0.3">
      <c r="A69" s="1" t="s">
        <v>134</v>
      </c>
      <c r="B69" s="2" t="s">
        <v>135</v>
      </c>
      <c r="C69" s="4">
        <v>3851</v>
      </c>
      <c r="D69" s="4">
        <v>23716</v>
      </c>
      <c r="E69" s="4">
        <v>77663</v>
      </c>
      <c r="F69" s="4">
        <v>128262</v>
      </c>
      <c r="G69" s="4">
        <v>146259</v>
      </c>
      <c r="H69" s="4">
        <v>151916</v>
      </c>
      <c r="I69" s="4">
        <v>56280</v>
      </c>
      <c r="J69" s="4">
        <v>60082</v>
      </c>
      <c r="K69" s="40">
        <f t="shared" si="18"/>
        <v>648029</v>
      </c>
      <c r="L69" s="41">
        <f t="shared" si="19"/>
        <v>5.9426352832975069E-3</v>
      </c>
      <c r="M69" s="41">
        <f t="shared" si="20"/>
        <v>3.6597127597684673E-2</v>
      </c>
      <c r="N69" s="41">
        <f t="shared" si="21"/>
        <v>0.11984494521078531</v>
      </c>
      <c r="O69" s="41">
        <f t="shared" si="22"/>
        <v>0.19792632737115159</v>
      </c>
      <c r="P69" s="41">
        <f t="shared" si="23"/>
        <v>0.22569823264082317</v>
      </c>
      <c r="Q69" s="41">
        <f t="shared" si="24"/>
        <v>0.23442778023823008</v>
      </c>
      <c r="R69" s="41">
        <f t="shared" si="25"/>
        <v>8.6847965137362676E-2</v>
      </c>
      <c r="S69" s="41">
        <f t="shared" si="26"/>
        <v>9.2714986520664969E-2</v>
      </c>
    </row>
    <row r="70" spans="1:19" ht="14.4" x14ac:dyDescent="0.3">
      <c r="A70" s="1" t="s">
        <v>136</v>
      </c>
      <c r="B70" s="2" t="s">
        <v>137</v>
      </c>
      <c r="C70" s="4">
        <v>3196</v>
      </c>
      <c r="D70" s="4">
        <v>16258</v>
      </c>
      <c r="E70" s="4">
        <v>40206</v>
      </c>
      <c r="F70" s="4">
        <v>85008</v>
      </c>
      <c r="G70" s="4">
        <v>100636</v>
      </c>
      <c r="H70" s="4">
        <v>111814</v>
      </c>
      <c r="I70" s="4">
        <v>40068</v>
      </c>
      <c r="J70" s="4">
        <v>47322</v>
      </c>
      <c r="K70" s="40">
        <f t="shared" si="18"/>
        <v>444508</v>
      </c>
      <c r="L70" s="41">
        <f t="shared" si="19"/>
        <v>7.1899718340277339E-3</v>
      </c>
      <c r="M70" s="41">
        <f t="shared" si="20"/>
        <v>3.657526973642769E-2</v>
      </c>
      <c r="N70" s="41">
        <f t="shared" si="21"/>
        <v>9.045056556912362E-2</v>
      </c>
      <c r="O70" s="41">
        <f t="shared" si="22"/>
        <v>0.1912406525866801</v>
      </c>
      <c r="P70" s="41">
        <f t="shared" si="23"/>
        <v>0.22639862499662547</v>
      </c>
      <c r="Q70" s="41">
        <f t="shared" si="24"/>
        <v>0.25154552898935451</v>
      </c>
      <c r="R70" s="41">
        <f t="shared" si="25"/>
        <v>9.0140109964275114E-2</v>
      </c>
      <c r="S70" s="41">
        <f t="shared" si="26"/>
        <v>0.10645927632348574</v>
      </c>
    </row>
    <row r="71" spans="1:19" ht="14.4" x14ac:dyDescent="0.3">
      <c r="A71" s="1" t="s">
        <v>138</v>
      </c>
      <c r="B71" s="2" t="s">
        <v>139</v>
      </c>
      <c r="C71" s="4">
        <v>6642</v>
      </c>
      <c r="D71" s="4">
        <v>42359</v>
      </c>
      <c r="E71" s="4">
        <v>156210</v>
      </c>
      <c r="F71" s="4">
        <v>216844</v>
      </c>
      <c r="G71" s="4">
        <v>217093</v>
      </c>
      <c r="H71" s="4">
        <v>157509</v>
      </c>
      <c r="I71" s="4">
        <v>76906</v>
      </c>
      <c r="J71" s="4">
        <v>89749</v>
      </c>
      <c r="K71" s="40">
        <f t="shared" si="18"/>
        <v>963312</v>
      </c>
      <c r="L71" s="41">
        <f t="shared" si="19"/>
        <v>6.8949623797897258E-3</v>
      </c>
      <c r="M71" s="41">
        <f t="shared" si="20"/>
        <v>4.3972254056837246E-2</v>
      </c>
      <c r="N71" s="41">
        <f t="shared" si="21"/>
        <v>0.16215930041357318</v>
      </c>
      <c r="O71" s="41">
        <f t="shared" si="22"/>
        <v>0.22510256282492069</v>
      </c>
      <c r="P71" s="41">
        <f t="shared" si="23"/>
        <v>0.22536104605776736</v>
      </c>
      <c r="Q71" s="41">
        <f t="shared" si="24"/>
        <v>0.1635077731825203</v>
      </c>
      <c r="R71" s="41">
        <f t="shared" si="25"/>
        <v>7.9834985965087119E-2</v>
      </c>
      <c r="S71" s="41">
        <f t="shared" si="26"/>
        <v>9.3167115119504373E-2</v>
      </c>
    </row>
    <row r="72" spans="1:19" ht="14.4" x14ac:dyDescent="0.3">
      <c r="A72" s="1" t="s">
        <v>140</v>
      </c>
      <c r="B72" s="2" t="s">
        <v>141</v>
      </c>
      <c r="C72" s="4">
        <v>3039</v>
      </c>
      <c r="D72" s="4">
        <v>6087</v>
      </c>
      <c r="E72" s="4">
        <v>8482</v>
      </c>
      <c r="F72" s="4">
        <v>22573</v>
      </c>
      <c r="G72" s="4">
        <v>30447</v>
      </c>
      <c r="H72" s="4">
        <v>36420</v>
      </c>
      <c r="I72" s="4">
        <v>15765</v>
      </c>
      <c r="J72" s="4">
        <v>14821</v>
      </c>
      <c r="K72" s="40">
        <f t="shared" si="18"/>
        <v>137634</v>
      </c>
      <c r="L72" s="41">
        <f t="shared" si="19"/>
        <v>2.2080299925890404E-2</v>
      </c>
      <c r="M72" s="41">
        <f t="shared" si="20"/>
        <v>4.4225990670909807E-2</v>
      </c>
      <c r="N72" s="41">
        <f t="shared" si="21"/>
        <v>6.1627214205792175E-2</v>
      </c>
      <c r="O72" s="41">
        <f t="shared" si="22"/>
        <v>0.16400744002208756</v>
      </c>
      <c r="P72" s="41">
        <f t="shared" si="23"/>
        <v>0.22121714111338769</v>
      </c>
      <c r="Q72" s="41">
        <f t="shared" si="24"/>
        <v>0.2646148480753302</v>
      </c>
      <c r="R72" s="41">
        <f t="shared" si="25"/>
        <v>0.11454291817428833</v>
      </c>
      <c r="S72" s="41">
        <f t="shared" si="26"/>
        <v>0.10768414781231382</v>
      </c>
    </row>
    <row r="73" spans="1:19" ht="14.4" x14ac:dyDescent="0.3">
      <c r="A73" s="1" t="s">
        <v>142</v>
      </c>
      <c r="B73" s="2" t="s">
        <v>143</v>
      </c>
      <c r="C73" s="4">
        <v>8634</v>
      </c>
      <c r="D73" s="4">
        <v>15553</v>
      </c>
      <c r="E73" s="4">
        <v>21378</v>
      </c>
      <c r="F73" s="4">
        <v>52223</v>
      </c>
      <c r="G73" s="4">
        <v>71424</v>
      </c>
      <c r="H73" s="4">
        <v>76129</v>
      </c>
      <c r="I73" s="4">
        <v>37688</v>
      </c>
      <c r="J73" s="4">
        <v>32955</v>
      </c>
      <c r="K73" s="40">
        <f t="shared" si="18"/>
        <v>315984</v>
      </c>
      <c r="L73" s="41">
        <f t="shared" si="19"/>
        <v>2.7324168312319611E-2</v>
      </c>
      <c r="M73" s="41">
        <f t="shared" si="20"/>
        <v>4.922084662514558E-2</v>
      </c>
      <c r="N73" s="41">
        <f t="shared" si="21"/>
        <v>6.7655324320218743E-2</v>
      </c>
      <c r="O73" s="41">
        <f t="shared" si="22"/>
        <v>0.1652710263810826</v>
      </c>
      <c r="P73" s="41">
        <f t="shared" si="23"/>
        <v>0.22603676135500531</v>
      </c>
      <c r="Q73" s="41">
        <f t="shared" si="24"/>
        <v>0.24092675578510303</v>
      </c>
      <c r="R73" s="41">
        <f t="shared" si="25"/>
        <v>0.11927186186642362</v>
      </c>
      <c r="S73" s="41">
        <f t="shared" si="26"/>
        <v>0.10429325535470151</v>
      </c>
    </row>
    <row r="74" spans="1:19" ht="14.4" x14ac:dyDescent="0.3">
      <c r="A74" s="1" t="s">
        <v>144</v>
      </c>
      <c r="B74" s="2" t="s">
        <v>145</v>
      </c>
      <c r="C74" s="4">
        <v>5877</v>
      </c>
      <c r="D74" s="4">
        <v>12475</v>
      </c>
      <c r="E74" s="4">
        <v>25025</v>
      </c>
      <c r="F74" s="4">
        <v>56664</v>
      </c>
      <c r="G74" s="4">
        <v>75209</v>
      </c>
      <c r="H74" s="4">
        <v>80081</v>
      </c>
      <c r="I74" s="4">
        <v>36301</v>
      </c>
      <c r="J74" s="4">
        <v>25814</v>
      </c>
      <c r="K74" s="40">
        <f t="shared" si="18"/>
        <v>317446</v>
      </c>
      <c r="L74" s="41">
        <f t="shared" si="19"/>
        <v>1.8513384953661411E-2</v>
      </c>
      <c r="M74" s="41">
        <f t="shared" si="20"/>
        <v>3.9298022340807572E-2</v>
      </c>
      <c r="N74" s="41">
        <f t="shared" si="21"/>
        <v>7.8832305336970693E-2</v>
      </c>
      <c r="O74" s="41">
        <f t="shared" si="22"/>
        <v>0.17849965033423007</v>
      </c>
      <c r="P74" s="41">
        <f t="shared" si="23"/>
        <v>0.23691903504848069</v>
      </c>
      <c r="Q74" s="41">
        <f t="shared" si="24"/>
        <v>0.25226652722037762</v>
      </c>
      <c r="R74" s="41">
        <f t="shared" si="25"/>
        <v>0.11435330733416077</v>
      </c>
      <c r="S74" s="41">
        <f t="shared" si="26"/>
        <v>8.1317767431311153E-2</v>
      </c>
    </row>
    <row r="75" spans="1:19" ht="14.4" x14ac:dyDescent="0.3">
      <c r="A75" s="1" t="s">
        <v>146</v>
      </c>
      <c r="B75" s="2" t="s">
        <v>147</v>
      </c>
      <c r="C75" s="4">
        <v>2298</v>
      </c>
      <c r="D75" s="4">
        <v>14736</v>
      </c>
      <c r="E75" s="4">
        <v>23112</v>
      </c>
      <c r="F75" s="4">
        <v>51533</v>
      </c>
      <c r="G75" s="4">
        <v>57067</v>
      </c>
      <c r="H75" s="4">
        <v>47469</v>
      </c>
      <c r="I75" s="4">
        <v>22629</v>
      </c>
      <c r="J75" s="4">
        <v>21289</v>
      </c>
      <c r="K75" s="40">
        <f t="shared" si="18"/>
        <v>240133</v>
      </c>
      <c r="L75" s="41">
        <f t="shared" si="19"/>
        <v>9.5696967930271968E-3</v>
      </c>
      <c r="M75" s="41">
        <f t="shared" si="20"/>
        <v>6.1365993012205737E-2</v>
      </c>
      <c r="N75" s="41">
        <f t="shared" si="21"/>
        <v>9.6246663307417143E-2</v>
      </c>
      <c r="O75" s="41">
        <f t="shared" si="22"/>
        <v>0.21460190810925611</v>
      </c>
      <c r="P75" s="41">
        <f t="shared" si="23"/>
        <v>0.23764747036017539</v>
      </c>
      <c r="Q75" s="41">
        <f t="shared" si="24"/>
        <v>0.19767795346745345</v>
      </c>
      <c r="R75" s="41">
        <f t="shared" si="25"/>
        <v>9.4235277950135962E-2</v>
      </c>
      <c r="S75" s="41">
        <f t="shared" si="26"/>
        <v>8.8655037000328979E-2</v>
      </c>
    </row>
    <row r="76" spans="1:19" ht="14.4" x14ac:dyDescent="0.3">
      <c r="A76" s="1" t="s">
        <v>148</v>
      </c>
      <c r="B76" s="2" t="s">
        <v>149</v>
      </c>
      <c r="C76" s="4">
        <v>3424</v>
      </c>
      <c r="D76" s="4">
        <v>25234</v>
      </c>
      <c r="E76" s="4">
        <v>48713</v>
      </c>
      <c r="F76" s="4">
        <v>94989</v>
      </c>
      <c r="G76" s="4">
        <v>100252</v>
      </c>
      <c r="H76" s="4">
        <v>92009</v>
      </c>
      <c r="I76" s="4">
        <v>33768</v>
      </c>
      <c r="J76" s="4">
        <v>36274</v>
      </c>
      <c r="K76" s="40">
        <f t="shared" si="18"/>
        <v>434663</v>
      </c>
      <c r="L76" s="41">
        <f t="shared" si="19"/>
        <v>7.8773670636792179E-3</v>
      </c>
      <c r="M76" s="41">
        <f t="shared" si="20"/>
        <v>5.8054170702360221E-2</v>
      </c>
      <c r="N76" s="41">
        <f t="shared" si="21"/>
        <v>0.11207073065800402</v>
      </c>
      <c r="O76" s="41">
        <f t="shared" si="22"/>
        <v>0.21853481892868729</v>
      </c>
      <c r="P76" s="41">
        <f t="shared" si="23"/>
        <v>0.23064304990302834</v>
      </c>
      <c r="Q76" s="41">
        <f t="shared" si="24"/>
        <v>0.21167893287443376</v>
      </c>
      <c r="R76" s="41">
        <f t="shared" si="25"/>
        <v>7.7687771906051362E-2</v>
      </c>
      <c r="S76" s="41">
        <f t="shared" si="26"/>
        <v>8.3453157963755825E-2</v>
      </c>
    </row>
    <row r="77" spans="1:19" ht="14.4" x14ac:dyDescent="0.3">
      <c r="A77" s="1" t="s">
        <v>150</v>
      </c>
      <c r="B77" s="2" t="s">
        <v>151</v>
      </c>
      <c r="C77" s="4">
        <v>520</v>
      </c>
      <c r="D77" s="4">
        <v>55687</v>
      </c>
      <c r="E77" s="4">
        <v>503432</v>
      </c>
      <c r="F77" s="4">
        <v>281989</v>
      </c>
      <c r="G77" s="4">
        <v>252536</v>
      </c>
      <c r="H77" s="4">
        <v>96986</v>
      </c>
      <c r="I77" s="4">
        <v>67814</v>
      </c>
      <c r="J77" s="4">
        <v>111042</v>
      </c>
      <c r="K77" s="40">
        <f t="shared" si="18"/>
        <v>1370006</v>
      </c>
      <c r="L77" s="41">
        <f t="shared" si="19"/>
        <v>3.7956038148738035E-4</v>
      </c>
      <c r="M77" s="41">
        <f t="shared" si="20"/>
        <v>4.0647267238245674E-2</v>
      </c>
      <c r="N77" s="41">
        <f t="shared" si="21"/>
        <v>0.36746700379414399</v>
      </c>
      <c r="O77" s="41">
        <f t="shared" si="22"/>
        <v>0.20583048541393251</v>
      </c>
      <c r="P77" s="41">
        <f t="shared" si="23"/>
        <v>0.18433203942172516</v>
      </c>
      <c r="Q77" s="41">
        <f t="shared" si="24"/>
        <v>7.0792390690259749E-2</v>
      </c>
      <c r="R77" s="41">
        <f t="shared" si="25"/>
        <v>4.9499053288817714E-2</v>
      </c>
      <c r="S77" s="41">
        <f t="shared" si="26"/>
        <v>8.1052199771387862E-2</v>
      </c>
    </row>
    <row r="78" spans="1:19" ht="14.4" x14ac:dyDescent="0.3">
      <c r="A78" s="1" t="s">
        <v>152</v>
      </c>
      <c r="B78" s="2" t="s">
        <v>153</v>
      </c>
      <c r="C78" s="4">
        <v>6101</v>
      </c>
      <c r="D78" s="4">
        <v>25776</v>
      </c>
      <c r="E78" s="4">
        <v>63808</v>
      </c>
      <c r="F78" s="4">
        <v>136442</v>
      </c>
      <c r="G78" s="4">
        <v>170204</v>
      </c>
      <c r="H78" s="4">
        <v>161926</v>
      </c>
      <c r="I78" s="4">
        <v>74472</v>
      </c>
      <c r="J78" s="4">
        <v>79241</v>
      </c>
      <c r="K78" s="40">
        <f t="shared" si="18"/>
        <v>717970</v>
      </c>
      <c r="L78" s="41">
        <f t="shared" si="19"/>
        <v>8.4975695363316023E-3</v>
      </c>
      <c r="M78" s="41">
        <f t="shared" si="20"/>
        <v>3.5901221499505552E-2</v>
      </c>
      <c r="N78" s="41">
        <f t="shared" si="21"/>
        <v>8.8872794127888358E-2</v>
      </c>
      <c r="O78" s="41">
        <f t="shared" si="22"/>
        <v>0.19003858099920609</v>
      </c>
      <c r="P78" s="41">
        <f t="shared" si="23"/>
        <v>0.23706282992325584</v>
      </c>
      <c r="Q78" s="41">
        <f t="shared" si="24"/>
        <v>0.22553310026881346</v>
      </c>
      <c r="R78" s="41">
        <f t="shared" si="25"/>
        <v>0.10372578241430701</v>
      </c>
      <c r="S78" s="41">
        <f t="shared" si="26"/>
        <v>0.11036812123069209</v>
      </c>
    </row>
    <row r="79" spans="1:19" ht="14.4" x14ac:dyDescent="0.3">
      <c r="A79" s="1" t="s">
        <v>154</v>
      </c>
      <c r="B79" s="2" t="s">
        <v>155</v>
      </c>
      <c r="C79" s="4">
        <v>2919</v>
      </c>
      <c r="D79" s="4">
        <v>29517</v>
      </c>
      <c r="E79" s="4">
        <v>99264</v>
      </c>
      <c r="F79" s="4">
        <v>184073</v>
      </c>
      <c r="G79" s="4">
        <v>204075</v>
      </c>
      <c r="H79" s="4">
        <v>134729</v>
      </c>
      <c r="I79" s="4">
        <v>61671</v>
      </c>
      <c r="J79" s="4">
        <v>65634</v>
      </c>
      <c r="K79" s="40">
        <f t="shared" si="18"/>
        <v>781882</v>
      </c>
      <c r="L79" s="41">
        <f t="shared" si="19"/>
        <v>3.7332999097050451E-3</v>
      </c>
      <c r="M79" s="41">
        <f t="shared" si="20"/>
        <v>3.7751220772443923E-2</v>
      </c>
      <c r="N79" s="41">
        <f t="shared" si="21"/>
        <v>0.1269552183065987</v>
      </c>
      <c r="O79" s="41">
        <f t="shared" si="22"/>
        <v>0.23542299221621676</v>
      </c>
      <c r="P79" s="41">
        <f t="shared" si="23"/>
        <v>0.26100485751046831</v>
      </c>
      <c r="Q79" s="41">
        <f t="shared" si="24"/>
        <v>0.17231372508895204</v>
      </c>
      <c r="R79" s="41">
        <f t="shared" si="25"/>
        <v>7.8875073220767325E-2</v>
      </c>
      <c r="S79" s="41">
        <f t="shared" si="26"/>
        <v>8.394361297484787E-2</v>
      </c>
    </row>
    <row r="80" spans="1:19" ht="14.4" x14ac:dyDescent="0.3">
      <c r="A80" s="1" t="s">
        <v>156</v>
      </c>
      <c r="B80" s="2" t="s">
        <v>157</v>
      </c>
      <c r="C80" s="4">
        <v>1139</v>
      </c>
      <c r="D80" s="4">
        <v>28397</v>
      </c>
      <c r="E80" s="4">
        <v>195091</v>
      </c>
      <c r="F80" s="4">
        <v>189244</v>
      </c>
      <c r="G80" s="4">
        <v>181152</v>
      </c>
      <c r="H80" s="4">
        <v>95537</v>
      </c>
      <c r="I80" s="4">
        <v>60583</v>
      </c>
      <c r="J80" s="4">
        <v>72112</v>
      </c>
      <c r="K80" s="40">
        <f t="shared" si="18"/>
        <v>823255</v>
      </c>
      <c r="L80" s="41">
        <f t="shared" si="19"/>
        <v>1.3835324413456341E-3</v>
      </c>
      <c r="M80" s="41">
        <f t="shared" si="20"/>
        <v>3.4493565177253709E-2</v>
      </c>
      <c r="N80" s="41">
        <f t="shared" si="21"/>
        <v>0.23697517780031704</v>
      </c>
      <c r="O80" s="41">
        <f t="shared" si="22"/>
        <v>0.22987288264268058</v>
      </c>
      <c r="P80" s="41">
        <f t="shared" si="23"/>
        <v>0.22004360738774742</v>
      </c>
      <c r="Q80" s="41">
        <f t="shared" si="24"/>
        <v>0.1160478830981895</v>
      </c>
      <c r="R80" s="41">
        <f t="shared" si="25"/>
        <v>7.3589592532083012E-2</v>
      </c>
      <c r="S80" s="41">
        <f t="shared" si="26"/>
        <v>8.7593758920383111E-2</v>
      </c>
    </row>
    <row r="81" spans="1:19" ht="14.4" x14ac:dyDescent="0.3">
      <c r="A81" s="1" t="s">
        <v>158</v>
      </c>
      <c r="B81" s="2" t="s">
        <v>159</v>
      </c>
      <c r="C81" s="4">
        <v>7244</v>
      </c>
      <c r="D81" s="4">
        <v>9150</v>
      </c>
      <c r="E81" s="4">
        <v>16137</v>
      </c>
      <c r="F81" s="4">
        <v>34934</v>
      </c>
      <c r="G81" s="4">
        <v>49217</v>
      </c>
      <c r="H81" s="4">
        <v>50713</v>
      </c>
      <c r="I81" s="4">
        <v>24884</v>
      </c>
      <c r="J81" s="4">
        <v>16447</v>
      </c>
      <c r="K81" s="40">
        <f t="shared" si="18"/>
        <v>208726</v>
      </c>
      <c r="L81" s="41">
        <f t="shared" si="19"/>
        <v>3.4705786533541581E-2</v>
      </c>
      <c r="M81" s="41">
        <f t="shared" si="20"/>
        <v>4.3837375315006276E-2</v>
      </c>
      <c r="N81" s="41">
        <f t="shared" si="21"/>
        <v>7.7311882563743856E-2</v>
      </c>
      <c r="O81" s="41">
        <f t="shared" si="22"/>
        <v>0.16736774527370812</v>
      </c>
      <c r="P81" s="41">
        <f t="shared" si="23"/>
        <v>0.23579716949493595</v>
      </c>
      <c r="Q81" s="41">
        <f t="shared" si="24"/>
        <v>0.24296446058468998</v>
      </c>
      <c r="R81" s="41">
        <f t="shared" si="25"/>
        <v>0.11921849697689794</v>
      </c>
      <c r="S81" s="41">
        <f t="shared" si="26"/>
        <v>7.8797083257476308E-2</v>
      </c>
    </row>
    <row r="82" spans="1:19" ht="14.4" x14ac:dyDescent="0.3">
      <c r="A82" s="1" t="s">
        <v>160</v>
      </c>
      <c r="B82" s="2" t="s">
        <v>161</v>
      </c>
      <c r="C82" s="4">
        <v>5596</v>
      </c>
      <c r="D82" s="4">
        <v>10811</v>
      </c>
      <c r="E82" s="4">
        <v>25633</v>
      </c>
      <c r="F82" s="4">
        <v>55462</v>
      </c>
      <c r="G82" s="4">
        <v>74585</v>
      </c>
      <c r="H82" s="4">
        <v>81198</v>
      </c>
      <c r="I82" s="4">
        <v>34873</v>
      </c>
      <c r="J82" s="4">
        <v>38160</v>
      </c>
      <c r="K82" s="40">
        <f t="shared" si="18"/>
        <v>326318</v>
      </c>
      <c r="L82" s="41">
        <f t="shared" si="19"/>
        <v>1.7148916087987791E-2</v>
      </c>
      <c r="M82" s="41">
        <f t="shared" si="20"/>
        <v>3.3130259440177987E-2</v>
      </c>
      <c r="N82" s="41">
        <f t="shared" si="21"/>
        <v>7.8552209807610976E-2</v>
      </c>
      <c r="O82" s="41">
        <f t="shared" si="22"/>
        <v>0.16996304218584327</v>
      </c>
      <c r="P82" s="41">
        <f t="shared" si="23"/>
        <v>0.22856538713770003</v>
      </c>
      <c r="Q82" s="41">
        <f t="shared" si="24"/>
        <v>0.24883089501651762</v>
      </c>
      <c r="R82" s="41">
        <f t="shared" si="25"/>
        <v>0.10686814702222985</v>
      </c>
      <c r="S82" s="41">
        <f t="shared" si="26"/>
        <v>0.11694114330193248</v>
      </c>
    </row>
    <row r="83" spans="1:19" ht="14.4" x14ac:dyDescent="0.3">
      <c r="A83" s="1" t="s">
        <v>162</v>
      </c>
      <c r="B83" s="2" t="s">
        <v>163</v>
      </c>
      <c r="C83" s="4">
        <v>6139</v>
      </c>
      <c r="D83" s="4">
        <v>11817</v>
      </c>
      <c r="E83" s="4">
        <v>16357</v>
      </c>
      <c r="F83" s="4">
        <v>37848</v>
      </c>
      <c r="G83" s="4">
        <v>47946</v>
      </c>
      <c r="H83" s="4">
        <v>39223</v>
      </c>
      <c r="I83" s="4">
        <v>24283</v>
      </c>
      <c r="J83" s="4">
        <v>22121</v>
      </c>
      <c r="K83" s="40">
        <f t="shared" si="18"/>
        <v>205734</v>
      </c>
      <c r="L83" s="41">
        <f t="shared" si="19"/>
        <v>2.9839501492218107E-2</v>
      </c>
      <c r="M83" s="41">
        <f t="shared" si="20"/>
        <v>5.7438245501472779E-2</v>
      </c>
      <c r="N83" s="41">
        <f t="shared" si="21"/>
        <v>7.9505575160158257E-2</v>
      </c>
      <c r="O83" s="41">
        <f t="shared" si="22"/>
        <v>0.18396570328676834</v>
      </c>
      <c r="P83" s="41">
        <f t="shared" si="23"/>
        <v>0.23304849951879611</v>
      </c>
      <c r="Q83" s="41">
        <f t="shared" si="24"/>
        <v>0.19064909057326451</v>
      </c>
      <c r="R83" s="41">
        <f t="shared" si="25"/>
        <v>0.11803104980217173</v>
      </c>
      <c r="S83" s="41">
        <f t="shared" si="26"/>
        <v>0.10752233466515014</v>
      </c>
    </row>
    <row r="84" spans="1:19" ht="14.4" x14ac:dyDescent="0.3">
      <c r="A84" s="1" t="s">
        <v>164</v>
      </c>
      <c r="B84" s="2" t="s">
        <v>165</v>
      </c>
      <c r="C84" s="4">
        <v>4915</v>
      </c>
      <c r="D84" s="4">
        <v>7561</v>
      </c>
      <c r="E84" s="4">
        <v>9224</v>
      </c>
      <c r="F84" s="4">
        <v>23058</v>
      </c>
      <c r="G84" s="4">
        <v>31714</v>
      </c>
      <c r="H84" s="4">
        <v>27882</v>
      </c>
      <c r="I84" s="4">
        <v>14926</v>
      </c>
      <c r="J84" s="4">
        <v>14944</v>
      </c>
      <c r="K84" s="40">
        <f t="shared" si="18"/>
        <v>134224</v>
      </c>
      <c r="L84" s="41">
        <f t="shared" si="19"/>
        <v>3.6617892478245324E-2</v>
      </c>
      <c r="M84" s="41">
        <f t="shared" si="20"/>
        <v>5.633120753367505E-2</v>
      </c>
      <c r="N84" s="41">
        <f t="shared" si="21"/>
        <v>6.8720944093455721E-2</v>
      </c>
      <c r="O84" s="41">
        <f t="shared" si="22"/>
        <v>0.17178745976874479</v>
      </c>
      <c r="P84" s="41">
        <f t="shared" si="23"/>
        <v>0.23627667183216117</v>
      </c>
      <c r="Q84" s="41">
        <f t="shared" si="24"/>
        <v>0.20772738109429015</v>
      </c>
      <c r="R84" s="41">
        <f t="shared" si="25"/>
        <v>0.11120216950768864</v>
      </c>
      <c r="S84" s="41">
        <f t="shared" si="26"/>
        <v>0.11133627369173918</v>
      </c>
    </row>
    <row r="85" spans="1:19" ht="14.4" x14ac:dyDescent="0.3">
      <c r="A85" s="1" t="s">
        <v>166</v>
      </c>
      <c r="B85" s="2" t="s">
        <v>167</v>
      </c>
      <c r="C85" s="4">
        <v>4026</v>
      </c>
      <c r="D85" s="4">
        <v>37375</v>
      </c>
      <c r="E85" s="4">
        <v>47951</v>
      </c>
      <c r="F85" s="4">
        <v>101391</v>
      </c>
      <c r="G85" s="4">
        <v>145886</v>
      </c>
      <c r="H85" s="4">
        <v>83394</v>
      </c>
      <c r="I85" s="4">
        <v>65124</v>
      </c>
      <c r="J85" s="4">
        <v>74497</v>
      </c>
      <c r="K85" s="40">
        <f t="shared" si="18"/>
        <v>559644</v>
      </c>
      <c r="L85" s="41">
        <f t="shared" si="19"/>
        <v>7.1938589531916715E-3</v>
      </c>
      <c r="M85" s="41">
        <f t="shared" si="20"/>
        <v>6.6783526670526269E-2</v>
      </c>
      <c r="N85" s="41">
        <f t="shared" si="21"/>
        <v>8.5681254511796784E-2</v>
      </c>
      <c r="O85" s="41">
        <f t="shared" si="22"/>
        <v>0.18117052983682483</v>
      </c>
      <c r="P85" s="41">
        <f t="shared" si="23"/>
        <v>0.26067643001622459</v>
      </c>
      <c r="Q85" s="41">
        <f t="shared" si="24"/>
        <v>0.14901258657289276</v>
      </c>
      <c r="R85" s="41">
        <f t="shared" si="25"/>
        <v>0.11636683320110641</v>
      </c>
      <c r="S85" s="41">
        <f t="shared" si="26"/>
        <v>0.13311498023743665</v>
      </c>
    </row>
    <row r="86" spans="1:19" ht="14.4" x14ac:dyDescent="0.3">
      <c r="A86" s="1" t="s">
        <v>168</v>
      </c>
      <c r="B86" s="2" t="s">
        <v>169</v>
      </c>
      <c r="C86" s="4">
        <v>5195</v>
      </c>
      <c r="D86" s="4">
        <v>19205</v>
      </c>
      <c r="E86" s="4">
        <v>25397</v>
      </c>
      <c r="F86" s="4">
        <v>54174</v>
      </c>
      <c r="G86" s="4">
        <v>70958</v>
      </c>
      <c r="H86" s="4">
        <v>61461</v>
      </c>
      <c r="I86" s="4">
        <v>31042</v>
      </c>
      <c r="J86" s="4">
        <v>41248</v>
      </c>
      <c r="K86" s="40">
        <f t="shared" si="18"/>
        <v>308680</v>
      </c>
      <c r="L86" s="41">
        <f t="shared" si="19"/>
        <v>1.6829726577685628E-2</v>
      </c>
      <c r="M86" s="41">
        <f t="shared" si="20"/>
        <v>6.2216534922897498E-2</v>
      </c>
      <c r="N86" s="41">
        <f t="shared" si="21"/>
        <v>8.2276143579111047E-2</v>
      </c>
      <c r="O86" s="41">
        <f t="shared" si="22"/>
        <v>0.17550213813658158</v>
      </c>
      <c r="P86" s="41">
        <f t="shared" si="23"/>
        <v>0.22987559932616303</v>
      </c>
      <c r="Q86" s="41">
        <f t="shared" si="24"/>
        <v>0.19910910975767784</v>
      </c>
      <c r="R86" s="41">
        <f t="shared" si="25"/>
        <v>0.10056369055332383</v>
      </c>
      <c r="S86" s="41">
        <f t="shared" si="26"/>
        <v>0.13362705714655954</v>
      </c>
    </row>
    <row r="87" spans="1:19" ht="14.4" x14ac:dyDescent="0.3">
      <c r="A87" s="1" t="s">
        <v>170</v>
      </c>
      <c r="B87" s="2" t="s">
        <v>171</v>
      </c>
      <c r="C87" s="4">
        <v>10491</v>
      </c>
      <c r="D87" s="4">
        <v>18262</v>
      </c>
      <c r="E87" s="4">
        <v>22060</v>
      </c>
      <c r="F87" s="4">
        <v>57743</v>
      </c>
      <c r="G87" s="4">
        <v>78180</v>
      </c>
      <c r="H87" s="4">
        <v>93504</v>
      </c>
      <c r="I87" s="4">
        <v>45372</v>
      </c>
      <c r="J87" s="4">
        <v>27269</v>
      </c>
      <c r="K87" s="40">
        <f t="shared" si="18"/>
        <v>352881</v>
      </c>
      <c r="L87" s="41">
        <f t="shared" si="19"/>
        <v>2.9729568891496E-2</v>
      </c>
      <c r="M87" s="41">
        <f t="shared" si="20"/>
        <v>5.1751156905585738E-2</v>
      </c>
      <c r="N87" s="41">
        <f t="shared" si="21"/>
        <v>6.2513991968964039E-2</v>
      </c>
      <c r="O87" s="41">
        <f t="shared" si="22"/>
        <v>0.16363306610443748</v>
      </c>
      <c r="P87" s="41">
        <f t="shared" si="23"/>
        <v>0.22154777389544916</v>
      </c>
      <c r="Q87" s="41">
        <f t="shared" si="24"/>
        <v>0.2649731779268365</v>
      </c>
      <c r="R87" s="41">
        <f t="shared" si="25"/>
        <v>0.12857592219473421</v>
      </c>
      <c r="S87" s="41">
        <f t="shared" si="26"/>
        <v>7.7275342112496842E-2</v>
      </c>
    </row>
    <row r="88" spans="1:19" ht="14.4" x14ac:dyDescent="0.3">
      <c r="A88" s="1" t="s">
        <v>172</v>
      </c>
      <c r="B88" s="2" t="s">
        <v>173</v>
      </c>
      <c r="C88" s="4">
        <v>5279</v>
      </c>
      <c r="D88" s="4">
        <v>10094</v>
      </c>
      <c r="E88" s="4">
        <v>22944</v>
      </c>
      <c r="F88" s="4">
        <v>45969</v>
      </c>
      <c r="G88" s="4">
        <v>60627</v>
      </c>
      <c r="H88" s="4">
        <v>47838</v>
      </c>
      <c r="I88" s="4">
        <v>25817</v>
      </c>
      <c r="J88" s="4">
        <v>20378</v>
      </c>
      <c r="K88" s="40">
        <f t="shared" si="18"/>
        <v>238946</v>
      </c>
      <c r="L88" s="41">
        <f t="shared" si="19"/>
        <v>2.2092857800507227E-2</v>
      </c>
      <c r="M88" s="41">
        <f t="shared" si="20"/>
        <v>4.2243854259958316E-2</v>
      </c>
      <c r="N88" s="41">
        <f t="shared" si="21"/>
        <v>9.6021695278431116E-2</v>
      </c>
      <c r="O88" s="41">
        <f t="shared" si="22"/>
        <v>0.1923823792823483</v>
      </c>
      <c r="P88" s="41">
        <f t="shared" si="23"/>
        <v>0.25372678345735017</v>
      </c>
      <c r="Q88" s="41">
        <f t="shared" si="24"/>
        <v>0.20020423024449038</v>
      </c>
      <c r="R88" s="41">
        <f t="shared" si="25"/>
        <v>0.10804533241820327</v>
      </c>
      <c r="S88" s="41">
        <f t="shared" si="26"/>
        <v>8.5282867258711176E-2</v>
      </c>
    </row>
    <row r="89" spans="1:19" ht="14.4" x14ac:dyDescent="0.3">
      <c r="A89" s="1" t="s">
        <v>174</v>
      </c>
      <c r="B89" s="2" t="s">
        <v>175</v>
      </c>
      <c r="C89" s="4">
        <v>4691</v>
      </c>
      <c r="D89" s="4">
        <v>9481</v>
      </c>
      <c r="E89" s="4">
        <v>19390</v>
      </c>
      <c r="F89" s="4">
        <v>40694</v>
      </c>
      <c r="G89" s="4">
        <v>49361</v>
      </c>
      <c r="H89" s="4">
        <v>41096</v>
      </c>
      <c r="I89" s="4">
        <v>26412</v>
      </c>
      <c r="J89" s="4">
        <v>18874</v>
      </c>
      <c r="K89" s="40">
        <f t="shared" si="18"/>
        <v>209999</v>
      </c>
      <c r="L89" s="41">
        <f t="shared" si="19"/>
        <v>2.233820161048386E-2</v>
      </c>
      <c r="M89" s="41">
        <f t="shared" si="20"/>
        <v>4.5147834037304942E-2</v>
      </c>
      <c r="N89" s="41">
        <f t="shared" si="21"/>
        <v>9.2333773017966747E-2</v>
      </c>
      <c r="O89" s="41">
        <f t="shared" si="22"/>
        <v>0.19378187515178644</v>
      </c>
      <c r="P89" s="41">
        <f t="shared" si="23"/>
        <v>0.23505350025476313</v>
      </c>
      <c r="Q89" s="41">
        <f t="shared" si="24"/>
        <v>0.19569616998176181</v>
      </c>
      <c r="R89" s="41">
        <f t="shared" si="25"/>
        <v>0.12577202748584518</v>
      </c>
      <c r="S89" s="41">
        <f t="shared" si="26"/>
        <v>8.9876618460087904E-2</v>
      </c>
    </row>
    <row r="90" spans="1:19" ht="14.4" x14ac:dyDescent="0.3">
      <c r="A90" s="1" t="s">
        <v>176</v>
      </c>
      <c r="B90" s="2" t="s">
        <v>177</v>
      </c>
      <c r="C90" s="4">
        <v>3261</v>
      </c>
      <c r="D90" s="4">
        <v>10314</v>
      </c>
      <c r="E90" s="4">
        <v>13808</v>
      </c>
      <c r="F90" s="4">
        <v>35846</v>
      </c>
      <c r="G90" s="4">
        <v>48742</v>
      </c>
      <c r="H90" s="4">
        <v>58126</v>
      </c>
      <c r="I90" s="4">
        <v>25493</v>
      </c>
      <c r="J90" s="4">
        <v>22752</v>
      </c>
      <c r="K90" s="40">
        <f t="shared" si="18"/>
        <v>218342</v>
      </c>
      <c r="L90" s="41">
        <f t="shared" si="19"/>
        <v>1.4935285011587326E-2</v>
      </c>
      <c r="M90" s="41">
        <f t="shared" si="20"/>
        <v>4.7237819567467552E-2</v>
      </c>
      <c r="N90" s="41">
        <f t="shared" si="21"/>
        <v>6.3240237792087636E-2</v>
      </c>
      <c r="O90" s="41">
        <f t="shared" si="22"/>
        <v>0.16417363585567596</v>
      </c>
      <c r="P90" s="41">
        <f t="shared" si="23"/>
        <v>0.22323694021306026</v>
      </c>
      <c r="Q90" s="41">
        <f t="shared" si="24"/>
        <v>0.26621538687013951</v>
      </c>
      <c r="R90" s="41">
        <f t="shared" si="25"/>
        <v>0.11675719742422438</v>
      </c>
      <c r="S90" s="41">
        <f t="shared" si="26"/>
        <v>0.10420349726575739</v>
      </c>
    </row>
    <row r="91" spans="1:19" ht="14.4" x14ac:dyDescent="0.3">
      <c r="A91" s="1" t="s">
        <v>178</v>
      </c>
      <c r="B91" s="2" t="s">
        <v>179</v>
      </c>
      <c r="C91" s="4">
        <v>4535</v>
      </c>
      <c r="D91" s="4">
        <v>8999</v>
      </c>
      <c r="E91" s="4">
        <v>13440</v>
      </c>
      <c r="F91" s="4">
        <v>32415</v>
      </c>
      <c r="G91" s="4">
        <v>45522</v>
      </c>
      <c r="H91" s="4">
        <v>47059</v>
      </c>
      <c r="I91" s="4">
        <v>22322</v>
      </c>
      <c r="J91" s="4">
        <v>20915</v>
      </c>
      <c r="K91" s="40">
        <f t="shared" si="18"/>
        <v>195207</v>
      </c>
      <c r="L91" s="41">
        <f t="shared" si="19"/>
        <v>2.323174886146501E-2</v>
      </c>
      <c r="M91" s="41">
        <f t="shared" si="20"/>
        <v>4.6099781257844238E-2</v>
      </c>
      <c r="N91" s="41">
        <f t="shared" si="21"/>
        <v>6.8849990010604128E-2</v>
      </c>
      <c r="O91" s="41">
        <f t="shared" si="22"/>
        <v>0.1660544959965575</v>
      </c>
      <c r="P91" s="41">
        <f t="shared" si="23"/>
        <v>0.23319860455823818</v>
      </c>
      <c r="Q91" s="41">
        <f t="shared" si="24"/>
        <v>0.24107229761227825</v>
      </c>
      <c r="R91" s="41">
        <f t="shared" si="25"/>
        <v>0.11435040751612391</v>
      </c>
      <c r="S91" s="41">
        <f t="shared" si="26"/>
        <v>0.10714267418688879</v>
      </c>
    </row>
    <row r="92" spans="1:19" ht="14.4" x14ac:dyDescent="0.3">
      <c r="A92" s="1" t="s">
        <v>180</v>
      </c>
      <c r="B92" s="2" t="s">
        <v>181</v>
      </c>
      <c r="C92" s="4">
        <v>355</v>
      </c>
      <c r="D92" s="4">
        <v>2680</v>
      </c>
      <c r="E92" s="4">
        <v>9397</v>
      </c>
      <c r="F92" s="4">
        <v>16018</v>
      </c>
      <c r="G92" s="4">
        <v>18443</v>
      </c>
      <c r="H92" s="4">
        <v>19214</v>
      </c>
      <c r="I92" s="4">
        <v>7980</v>
      </c>
      <c r="J92" s="4">
        <v>9337</v>
      </c>
      <c r="K92" s="40">
        <f t="shared" si="18"/>
        <v>83424</v>
      </c>
      <c r="L92" s="41">
        <f t="shared" si="19"/>
        <v>4.2553701572688911E-3</v>
      </c>
      <c r="M92" s="41">
        <f t="shared" si="20"/>
        <v>3.2125047947832761E-2</v>
      </c>
      <c r="N92" s="41">
        <f t="shared" si="21"/>
        <v>0.11264144610663598</v>
      </c>
      <c r="O92" s="41">
        <f t="shared" si="22"/>
        <v>0.19200709627924817</v>
      </c>
      <c r="P92" s="41">
        <f t="shared" si="23"/>
        <v>0.22107546988876103</v>
      </c>
      <c r="Q92" s="41">
        <f t="shared" si="24"/>
        <v>0.23031741465285768</v>
      </c>
      <c r="R92" s="41">
        <f t="shared" si="25"/>
        <v>9.5655926352128884E-2</v>
      </c>
      <c r="S92" s="41">
        <f t="shared" si="26"/>
        <v>0.11192222861526659</v>
      </c>
    </row>
    <row r="93" spans="1:19" ht="14.4" x14ac:dyDescent="0.3">
      <c r="A93" s="1" t="s">
        <v>182</v>
      </c>
      <c r="B93" s="2" t="s">
        <v>183</v>
      </c>
      <c r="C93" s="4">
        <v>986</v>
      </c>
      <c r="D93" s="4">
        <v>23685</v>
      </c>
      <c r="E93" s="4">
        <v>123311</v>
      </c>
      <c r="F93" s="4">
        <v>171562</v>
      </c>
      <c r="G93" s="4">
        <v>173357</v>
      </c>
      <c r="H93" s="4">
        <v>101940</v>
      </c>
      <c r="I93" s="4">
        <v>55064</v>
      </c>
      <c r="J93" s="4">
        <v>59887</v>
      </c>
      <c r="K93" s="40">
        <f t="shared" si="18"/>
        <v>709792</v>
      </c>
      <c r="L93" s="41">
        <f t="shared" si="19"/>
        <v>1.3891393535007438E-3</v>
      </c>
      <c r="M93" s="41">
        <f t="shared" si="20"/>
        <v>3.3368930616293223E-2</v>
      </c>
      <c r="N93" s="41">
        <f t="shared" si="21"/>
        <v>0.17372835985753574</v>
      </c>
      <c r="O93" s="41">
        <f t="shared" si="22"/>
        <v>0.24170742978224607</v>
      </c>
      <c r="P93" s="41">
        <f t="shared" si="23"/>
        <v>0.24423633966006944</v>
      </c>
      <c r="Q93" s="41">
        <f t="shared" si="24"/>
        <v>0.14361953924530002</v>
      </c>
      <c r="R93" s="41">
        <f t="shared" si="25"/>
        <v>7.7577656552905647E-2</v>
      </c>
      <c r="S93" s="41">
        <f t="shared" si="26"/>
        <v>8.4372604932149139E-2</v>
      </c>
    </row>
    <row r="94" spans="1:19" ht="14.4" x14ac:dyDescent="0.3">
      <c r="A94" s="1" t="s">
        <v>184</v>
      </c>
      <c r="B94" s="2" t="s">
        <v>185</v>
      </c>
      <c r="C94" s="4">
        <v>379</v>
      </c>
      <c r="D94" s="4">
        <v>34216</v>
      </c>
      <c r="E94" s="4">
        <v>277629</v>
      </c>
      <c r="F94" s="4">
        <v>203704</v>
      </c>
      <c r="G94" s="4">
        <v>201237</v>
      </c>
      <c r="H94" s="4">
        <v>82504</v>
      </c>
      <c r="I94" s="4">
        <v>52406</v>
      </c>
      <c r="J94" s="4">
        <v>69392</v>
      </c>
      <c r="K94" s="40">
        <f t="shared" si="18"/>
        <v>921467</v>
      </c>
      <c r="L94" s="41">
        <f t="shared" si="19"/>
        <v>4.1130067598731156E-4</v>
      </c>
      <c r="M94" s="41">
        <f t="shared" si="20"/>
        <v>3.7132094801007522E-2</v>
      </c>
      <c r="N94" s="41">
        <f t="shared" si="21"/>
        <v>0.30129022526037286</v>
      </c>
      <c r="O94" s="41">
        <f t="shared" si="22"/>
        <v>0.22106488892168683</v>
      </c>
      <c r="P94" s="41">
        <f t="shared" si="23"/>
        <v>0.21838763623656626</v>
      </c>
      <c r="Q94" s="41">
        <f t="shared" si="24"/>
        <v>8.9535490690388256E-2</v>
      </c>
      <c r="R94" s="41">
        <f t="shared" si="25"/>
        <v>5.6872356796282449E-2</v>
      </c>
      <c r="S94" s="41">
        <f t="shared" si="26"/>
        <v>7.5306006617708504E-2</v>
      </c>
    </row>
    <row r="95" spans="1:19" ht="14.4" x14ac:dyDescent="0.3">
      <c r="A95" s="1" t="s">
        <v>186</v>
      </c>
      <c r="B95" s="2" t="s">
        <v>187</v>
      </c>
      <c r="C95" s="4">
        <v>106</v>
      </c>
      <c r="D95" s="4">
        <v>32743</v>
      </c>
      <c r="E95" s="4">
        <v>88175</v>
      </c>
      <c r="F95" s="4">
        <v>169018</v>
      </c>
      <c r="G95" s="4">
        <v>252790</v>
      </c>
      <c r="H95" s="4">
        <v>173712</v>
      </c>
      <c r="I95" s="4">
        <v>54139</v>
      </c>
      <c r="J95" s="4">
        <v>112647</v>
      </c>
      <c r="K95" s="40">
        <f t="shared" si="18"/>
        <v>883330</v>
      </c>
      <c r="L95" s="41">
        <f t="shared" si="19"/>
        <v>1.2000045283189748E-4</v>
      </c>
      <c r="M95" s="41">
        <f t="shared" si="20"/>
        <v>3.706768704787565E-2</v>
      </c>
      <c r="N95" s="41">
        <f t="shared" si="21"/>
        <v>9.9821131400495852E-2</v>
      </c>
      <c r="O95" s="41">
        <f t="shared" si="22"/>
        <v>0.19134185412020421</v>
      </c>
      <c r="P95" s="41">
        <f t="shared" si="23"/>
        <v>0.28617843840920154</v>
      </c>
      <c r="Q95" s="41">
        <f t="shared" si="24"/>
        <v>0.19665583643711862</v>
      </c>
      <c r="R95" s="41">
        <f t="shared" si="25"/>
        <v>6.1289665244019791E-2</v>
      </c>
      <c r="S95" s="41">
        <f t="shared" si="26"/>
        <v>0.12752538688825241</v>
      </c>
    </row>
    <row r="96" spans="1:19" ht="14.4" x14ac:dyDescent="0.3">
      <c r="A96" s="1" t="s">
        <v>188</v>
      </c>
      <c r="B96" s="2" t="s">
        <v>189</v>
      </c>
      <c r="C96" s="4">
        <v>191</v>
      </c>
      <c r="D96" s="4">
        <v>29593</v>
      </c>
      <c r="E96" s="4">
        <v>146443</v>
      </c>
      <c r="F96" s="4">
        <v>177963</v>
      </c>
      <c r="G96" s="4">
        <v>200237</v>
      </c>
      <c r="H96" s="4">
        <v>102786</v>
      </c>
      <c r="I96" s="4">
        <v>51540</v>
      </c>
      <c r="J96" s="4">
        <v>66572</v>
      </c>
      <c r="K96" s="40">
        <f t="shared" si="18"/>
        <v>775325</v>
      </c>
      <c r="L96" s="41">
        <f t="shared" si="19"/>
        <v>2.4634830554928576E-4</v>
      </c>
      <c r="M96" s="41">
        <f t="shared" si="20"/>
        <v>3.816850997968594E-2</v>
      </c>
      <c r="N96" s="41">
        <f t="shared" si="21"/>
        <v>0.18887950214426208</v>
      </c>
      <c r="O96" s="41">
        <f t="shared" si="22"/>
        <v>0.22953342146841646</v>
      </c>
      <c r="P96" s="41">
        <f t="shared" si="23"/>
        <v>0.2582620191532583</v>
      </c>
      <c r="Q96" s="41">
        <f t="shared" si="24"/>
        <v>0.13257150227324024</v>
      </c>
      <c r="R96" s="41">
        <f t="shared" si="25"/>
        <v>6.6475349047173768E-2</v>
      </c>
      <c r="S96" s="41">
        <f t="shared" si="26"/>
        <v>8.5863347628413897E-2</v>
      </c>
    </row>
    <row r="97" spans="1:19" ht="14.4" x14ac:dyDescent="0.3">
      <c r="A97" s="1" t="s">
        <v>190</v>
      </c>
      <c r="B97" s="2" t="s">
        <v>191</v>
      </c>
      <c r="C97" s="4">
        <v>656</v>
      </c>
      <c r="D97" s="4">
        <v>24543</v>
      </c>
      <c r="E97" s="4">
        <v>95117</v>
      </c>
      <c r="F97" s="4">
        <v>160212</v>
      </c>
      <c r="G97" s="4">
        <v>183428</v>
      </c>
      <c r="H97" s="4">
        <v>110473</v>
      </c>
      <c r="I97" s="4">
        <v>49806</v>
      </c>
      <c r="J97" s="4">
        <v>65429</v>
      </c>
      <c r="K97" s="40">
        <f t="shared" si="18"/>
        <v>689664</v>
      </c>
      <c r="L97" s="41">
        <f t="shared" si="19"/>
        <v>9.5118782479584267E-4</v>
      </c>
      <c r="M97" s="41">
        <f t="shared" si="20"/>
        <v>3.5586894487750556E-2</v>
      </c>
      <c r="N97" s="41">
        <f t="shared" si="21"/>
        <v>0.13791788465107646</v>
      </c>
      <c r="O97" s="41">
        <f t="shared" si="22"/>
        <v>0.23230442650334077</v>
      </c>
      <c r="P97" s="41">
        <f t="shared" si="23"/>
        <v>0.26596719561989607</v>
      </c>
      <c r="Q97" s="41">
        <f t="shared" si="24"/>
        <v>0.16018379964736451</v>
      </c>
      <c r="R97" s="41">
        <f t="shared" si="25"/>
        <v>7.2217775612472154E-2</v>
      </c>
      <c r="S97" s="41">
        <f t="shared" si="26"/>
        <v>9.4870835653303634E-2</v>
      </c>
    </row>
    <row r="98" spans="1:19" ht="18" customHeight="1" x14ac:dyDescent="0.25">
      <c r="B98" s="33" t="s">
        <v>284</v>
      </c>
      <c r="C98" s="33">
        <f t="shared" ref="C98:J98" si="27">SUM(C2:C97)</f>
        <v>496121</v>
      </c>
      <c r="D98" s="33">
        <f t="shared" si="27"/>
        <v>1612028</v>
      </c>
      <c r="E98" s="33">
        <f t="shared" si="27"/>
        <v>4296643</v>
      </c>
      <c r="F98" s="33">
        <f t="shared" si="27"/>
        <v>6956917</v>
      </c>
      <c r="G98" s="33">
        <f t="shared" si="27"/>
        <v>8403025</v>
      </c>
      <c r="H98" s="33">
        <f t="shared" si="27"/>
        <v>6910588</v>
      </c>
      <c r="I98" s="33">
        <f t="shared" si="27"/>
        <v>3467779</v>
      </c>
      <c r="J98" s="33">
        <f t="shared" si="27"/>
        <v>3674617</v>
      </c>
      <c r="K98" s="33"/>
      <c r="L98" s="44"/>
      <c r="M98" s="44"/>
      <c r="N98" s="44"/>
      <c r="O98" s="44"/>
      <c r="P98" s="44"/>
      <c r="Q98" s="44"/>
      <c r="R98" s="44"/>
      <c r="S98" s="44"/>
    </row>
    <row r="99" spans="1:19" ht="18" customHeight="1" x14ac:dyDescent="0.25">
      <c r="B99" s="33" t="s">
        <v>227</v>
      </c>
      <c r="C99" s="33">
        <f>COUNT(C2:C97)</f>
        <v>96</v>
      </c>
      <c r="D99" s="33"/>
      <c r="E99" s="33"/>
      <c r="F99" s="33"/>
      <c r="G99" s="33"/>
      <c r="H99" s="33"/>
      <c r="I99" s="33"/>
      <c r="J99" s="33"/>
      <c r="K99" s="33"/>
      <c r="L99" s="33"/>
      <c r="M99" s="33"/>
      <c r="N99" s="33"/>
      <c r="O99" s="33"/>
      <c r="P99" s="33"/>
      <c r="Q99" s="33"/>
      <c r="R99" s="33"/>
      <c r="S99" s="33"/>
    </row>
    <row r="100" spans="1:19" ht="18" customHeight="1" x14ac:dyDescent="0.25">
      <c r="B100" s="33" t="s">
        <v>213</v>
      </c>
      <c r="C100" s="45">
        <f t="shared" ref="C100:S100" si="28">AVERAGE(C2:C97)</f>
        <v>5167.927083333333</v>
      </c>
      <c r="D100" s="45">
        <f t="shared" si="28"/>
        <v>16791.958333333332</v>
      </c>
      <c r="E100" s="45">
        <f t="shared" si="28"/>
        <v>44756.697916666664</v>
      </c>
      <c r="F100" s="45">
        <f t="shared" si="28"/>
        <v>72467.885416666672</v>
      </c>
      <c r="G100" s="45">
        <f t="shared" si="28"/>
        <v>87531.510416666672</v>
      </c>
      <c r="H100" s="45">
        <f t="shared" si="28"/>
        <v>71985.291666666672</v>
      </c>
      <c r="I100" s="45">
        <f t="shared" si="28"/>
        <v>36122.697916666664</v>
      </c>
      <c r="J100" s="45">
        <f t="shared" si="28"/>
        <v>38277.260416666664</v>
      </c>
      <c r="K100" s="45">
        <f t="shared" si="28"/>
        <v>373101.22916666669</v>
      </c>
      <c r="L100" s="45">
        <f t="shared" si="28"/>
        <v>2.2056342353552517E-2</v>
      </c>
      <c r="M100" s="45">
        <f t="shared" si="28"/>
        <v>4.8870614332142792E-2</v>
      </c>
      <c r="N100" s="45">
        <f t="shared" si="28"/>
        <v>9.4103064176273746E-2</v>
      </c>
      <c r="O100" s="45">
        <f t="shared" si="28"/>
        <v>0.18322087465991241</v>
      </c>
      <c r="P100" s="45">
        <f t="shared" si="28"/>
        <v>0.23491994224570098</v>
      </c>
      <c r="Q100" s="45">
        <f t="shared" si="28"/>
        <v>0.20650948091596386</v>
      </c>
      <c r="R100" s="45">
        <f t="shared" si="28"/>
        <v>0.10714324279469721</v>
      </c>
      <c r="S100" s="45">
        <f t="shared" si="28"/>
        <v>0.10317643852175661</v>
      </c>
    </row>
    <row r="101" spans="1:19" ht="18" customHeight="1" x14ac:dyDescent="0.25">
      <c r="B101" s="33" t="s">
        <v>214</v>
      </c>
      <c r="C101" s="45">
        <f t="shared" ref="C101:S101" si="29">MEDIAN(C2:C97)</f>
        <v>4752.5</v>
      </c>
      <c r="D101" s="45">
        <f t="shared" si="29"/>
        <v>13935</v>
      </c>
      <c r="E101" s="45">
        <f t="shared" si="29"/>
        <v>23069.5</v>
      </c>
      <c r="F101" s="45">
        <f t="shared" si="29"/>
        <v>53551.5</v>
      </c>
      <c r="G101" s="45">
        <f t="shared" si="29"/>
        <v>70585.5</v>
      </c>
      <c r="H101" s="45">
        <f t="shared" si="29"/>
        <v>64643</v>
      </c>
      <c r="I101" s="45">
        <f t="shared" si="29"/>
        <v>31231.5</v>
      </c>
      <c r="J101" s="45">
        <f t="shared" si="29"/>
        <v>27480.5</v>
      </c>
      <c r="K101" s="45">
        <f t="shared" si="29"/>
        <v>305439</v>
      </c>
      <c r="L101" s="45">
        <f t="shared" si="29"/>
        <v>2.0067643289737314E-2</v>
      </c>
      <c r="M101" s="45">
        <f t="shared" si="29"/>
        <v>4.7073480917496573E-2</v>
      </c>
      <c r="N101" s="45">
        <f t="shared" si="29"/>
        <v>7.9119991150279512E-2</v>
      </c>
      <c r="O101" s="45">
        <f t="shared" si="29"/>
        <v>0.18098079323528904</v>
      </c>
      <c r="P101" s="45">
        <f t="shared" si="29"/>
        <v>0.2336454644351309</v>
      </c>
      <c r="Q101" s="45">
        <f t="shared" si="29"/>
        <v>0.2095561156407546</v>
      </c>
      <c r="R101" s="45">
        <f t="shared" si="29"/>
        <v>0.10801384689138391</v>
      </c>
      <c r="S101" s="45">
        <f t="shared" si="29"/>
        <v>9.9264217672674959E-2</v>
      </c>
    </row>
    <row r="102" spans="1:19" ht="18" customHeight="1" x14ac:dyDescent="0.25">
      <c r="B102" s="33" t="s">
        <v>215</v>
      </c>
      <c r="C102" s="45">
        <f t="shared" ref="C102:S102" si="30">MIN(C2:C97)</f>
        <v>106</v>
      </c>
      <c r="D102" s="45">
        <f t="shared" si="30"/>
        <v>2680</v>
      </c>
      <c r="E102" s="45">
        <f t="shared" si="30"/>
        <v>2670</v>
      </c>
      <c r="F102" s="45">
        <f t="shared" si="30"/>
        <v>7431</v>
      </c>
      <c r="G102" s="45">
        <f t="shared" si="30"/>
        <v>10310</v>
      </c>
      <c r="H102" s="45">
        <f t="shared" si="30"/>
        <v>7209</v>
      </c>
      <c r="I102" s="45">
        <f t="shared" si="30"/>
        <v>5195</v>
      </c>
      <c r="J102" s="45">
        <f t="shared" si="30"/>
        <v>4535</v>
      </c>
      <c r="K102" s="45">
        <f t="shared" si="30"/>
        <v>43437</v>
      </c>
      <c r="L102" s="45">
        <f t="shared" si="30"/>
        <v>1.2000045283189748E-4</v>
      </c>
      <c r="M102" s="45">
        <f t="shared" si="30"/>
        <v>3.1260777302786071E-2</v>
      </c>
      <c r="N102" s="45">
        <f t="shared" si="30"/>
        <v>5.3916569829487511E-2</v>
      </c>
      <c r="O102" s="45">
        <f t="shared" si="30"/>
        <v>0.13926266597433426</v>
      </c>
      <c r="P102" s="45">
        <f t="shared" si="30"/>
        <v>0.18433203942172516</v>
      </c>
      <c r="Q102" s="45">
        <f t="shared" si="30"/>
        <v>7.0792390690259749E-2</v>
      </c>
      <c r="R102" s="45">
        <f t="shared" si="30"/>
        <v>4.9499053288817714E-2</v>
      </c>
      <c r="S102" s="45">
        <f t="shared" si="30"/>
        <v>6.6909472988288629E-2</v>
      </c>
    </row>
    <row r="103" spans="1:19" ht="18" customHeight="1" x14ac:dyDescent="0.25">
      <c r="B103" s="33" t="s">
        <v>216</v>
      </c>
      <c r="C103" s="45">
        <f t="shared" ref="C103:S103" si="31">MAX(C2:C97)</f>
        <v>12517</v>
      </c>
      <c r="D103" s="45">
        <f t="shared" si="31"/>
        <v>55687</v>
      </c>
      <c r="E103" s="45">
        <f t="shared" si="31"/>
        <v>503432</v>
      </c>
      <c r="F103" s="45">
        <f t="shared" si="31"/>
        <v>281989</v>
      </c>
      <c r="G103" s="45">
        <f t="shared" si="31"/>
        <v>329242</v>
      </c>
      <c r="H103" s="45">
        <f t="shared" si="31"/>
        <v>319098</v>
      </c>
      <c r="I103" s="45">
        <f t="shared" si="31"/>
        <v>135770</v>
      </c>
      <c r="J103" s="45">
        <f t="shared" si="31"/>
        <v>199332</v>
      </c>
      <c r="K103" s="45">
        <f t="shared" si="31"/>
        <v>1458505</v>
      </c>
      <c r="L103" s="45">
        <f t="shared" si="31"/>
        <v>8.8113927953138715E-2</v>
      </c>
      <c r="M103" s="45">
        <f t="shared" si="31"/>
        <v>7.2555370376193626E-2</v>
      </c>
      <c r="N103" s="45">
        <f t="shared" si="31"/>
        <v>0.36746700379414399</v>
      </c>
      <c r="O103" s="45">
        <f t="shared" si="31"/>
        <v>0.24170742978224607</v>
      </c>
      <c r="P103" s="45">
        <f t="shared" si="31"/>
        <v>0.28617843840920154</v>
      </c>
      <c r="Q103" s="45">
        <f t="shared" si="31"/>
        <v>0.27022336607480169</v>
      </c>
      <c r="R103" s="45">
        <f t="shared" si="31"/>
        <v>0.14555300051924933</v>
      </c>
      <c r="S103" s="45">
        <f t="shared" si="31"/>
        <v>0.18533251518165084</v>
      </c>
    </row>
    <row r="104" spans="1:19" ht="18" customHeight="1" x14ac:dyDescent="0.25">
      <c r="B104" s="33" t="s">
        <v>217</v>
      </c>
      <c r="C104" s="45">
        <f t="shared" ref="C104:S104" si="32">C103-C102</f>
        <v>12411</v>
      </c>
      <c r="D104" s="45">
        <f t="shared" si="32"/>
        <v>53007</v>
      </c>
      <c r="E104" s="45">
        <f t="shared" si="32"/>
        <v>500762</v>
      </c>
      <c r="F104" s="45">
        <f t="shared" si="32"/>
        <v>274558</v>
      </c>
      <c r="G104" s="45">
        <f t="shared" si="32"/>
        <v>318932</v>
      </c>
      <c r="H104" s="45">
        <f t="shared" si="32"/>
        <v>311889</v>
      </c>
      <c r="I104" s="45">
        <f t="shared" si="32"/>
        <v>130575</v>
      </c>
      <c r="J104" s="45">
        <f t="shared" si="32"/>
        <v>194797</v>
      </c>
      <c r="K104" s="45">
        <f t="shared" si="32"/>
        <v>1415068</v>
      </c>
      <c r="L104" s="45">
        <f t="shared" si="32"/>
        <v>8.7993927500306823E-2</v>
      </c>
      <c r="M104" s="45">
        <f t="shared" si="32"/>
        <v>4.1294593073407555E-2</v>
      </c>
      <c r="N104" s="45">
        <f t="shared" si="32"/>
        <v>0.31355043396465648</v>
      </c>
      <c r="O104" s="45">
        <f t="shared" si="32"/>
        <v>0.10244476380791182</v>
      </c>
      <c r="P104" s="45">
        <f t="shared" si="32"/>
        <v>0.10184639898747638</v>
      </c>
      <c r="Q104" s="45">
        <f t="shared" si="32"/>
        <v>0.19943097538454194</v>
      </c>
      <c r="R104" s="45">
        <f t="shared" si="32"/>
        <v>9.6053947230431619E-2</v>
      </c>
      <c r="S104" s="45">
        <f t="shared" si="32"/>
        <v>0.11842304219336221</v>
      </c>
    </row>
    <row r="105" spans="1:19" ht="18" customHeight="1" x14ac:dyDescent="0.25">
      <c r="B105" s="33" t="s">
        <v>228</v>
      </c>
      <c r="C105" s="45">
        <f t="shared" ref="C105:S105" si="33">VARP(C2:C97)</f>
        <v>8212605.9217664935</v>
      </c>
      <c r="D105" s="45">
        <f t="shared" si="33"/>
        <v>127520525.60243055</v>
      </c>
      <c r="E105" s="45">
        <f t="shared" si="33"/>
        <v>4354637438.5858288</v>
      </c>
      <c r="F105" s="45">
        <f t="shared" si="33"/>
        <v>3783342893.2889538</v>
      </c>
      <c r="G105" s="45">
        <f t="shared" si="33"/>
        <v>4425525258.4373913</v>
      </c>
      <c r="H105" s="45">
        <f t="shared" si="33"/>
        <v>2405819577.7274303</v>
      </c>
      <c r="I105" s="45">
        <f t="shared" si="33"/>
        <v>502823823.27332902</v>
      </c>
      <c r="J105" s="45">
        <f t="shared" si="33"/>
        <v>1065200757.1300998</v>
      </c>
      <c r="K105" s="45">
        <f t="shared" si="33"/>
        <v>82118610439.926651</v>
      </c>
      <c r="L105" s="45">
        <f t="shared" si="33"/>
        <v>3.042334936154513E-4</v>
      </c>
      <c r="M105" s="45">
        <f t="shared" si="33"/>
        <v>1.1680979431875672E-4</v>
      </c>
      <c r="N105" s="45">
        <f t="shared" si="33"/>
        <v>2.2379824995903933E-3</v>
      </c>
      <c r="O105" s="45">
        <f t="shared" si="33"/>
        <v>5.1363601551243946E-4</v>
      </c>
      <c r="P105" s="45">
        <f t="shared" si="33"/>
        <v>2.0478811180910569E-4</v>
      </c>
      <c r="Q105" s="45">
        <f t="shared" si="33"/>
        <v>1.5653975793873706E-3</v>
      </c>
      <c r="R105" s="45">
        <f t="shared" si="33"/>
        <v>3.5805982987728119E-4</v>
      </c>
      <c r="S105" s="45">
        <f t="shared" si="33"/>
        <v>4.2069033648972631E-4</v>
      </c>
    </row>
    <row r="106" spans="1:19" ht="18" customHeight="1" x14ac:dyDescent="0.25">
      <c r="B106" s="33" t="s">
        <v>229</v>
      </c>
      <c r="C106" s="45">
        <f t="shared" ref="C106:S106" si="34">_xlfn.STDEV.P(C2:C97)</f>
        <v>2865.7644567839998</v>
      </c>
      <c r="D106" s="45">
        <f t="shared" si="34"/>
        <v>11292.498643012119</v>
      </c>
      <c r="E106" s="45">
        <f t="shared" si="34"/>
        <v>65989.676757700741</v>
      </c>
      <c r="F106" s="45">
        <f t="shared" si="34"/>
        <v>61508.884669525214</v>
      </c>
      <c r="G106" s="45">
        <f t="shared" si="34"/>
        <v>66524.621445276876</v>
      </c>
      <c r="H106" s="45">
        <f t="shared" si="34"/>
        <v>49049.154709611772</v>
      </c>
      <c r="I106" s="45">
        <f t="shared" si="34"/>
        <v>22423.733482034811</v>
      </c>
      <c r="J106" s="45">
        <f t="shared" si="34"/>
        <v>32637.41345649345</v>
      </c>
      <c r="K106" s="45">
        <f t="shared" si="34"/>
        <v>286563.44923930313</v>
      </c>
      <c r="L106" s="45">
        <f t="shared" si="34"/>
        <v>1.7442290377569433E-2</v>
      </c>
      <c r="M106" s="45">
        <f t="shared" si="34"/>
        <v>1.0807857989387014E-2</v>
      </c>
      <c r="N106" s="45">
        <f t="shared" si="34"/>
        <v>4.7307319725285568E-2</v>
      </c>
      <c r="O106" s="45">
        <f t="shared" si="34"/>
        <v>2.2663539342133644E-2</v>
      </c>
      <c r="P106" s="45">
        <f t="shared" si="34"/>
        <v>1.4310419693674456E-2</v>
      </c>
      <c r="Q106" s="45">
        <f t="shared" si="34"/>
        <v>3.9565105577862046E-2</v>
      </c>
      <c r="R106" s="45">
        <f t="shared" si="34"/>
        <v>1.8922468916007795E-2</v>
      </c>
      <c r="S106" s="45">
        <f t="shared" si="34"/>
        <v>2.0510737102545251E-2</v>
      </c>
    </row>
    <row r="107" spans="1:19" ht="18" customHeight="1" x14ac:dyDescent="0.25">
      <c r="B107" s="33" t="s">
        <v>218</v>
      </c>
      <c r="C107" s="45">
        <f t="shared" ref="C107:S107" si="35">(C106/C100)*100</f>
        <v>55.452881021215383</v>
      </c>
      <c r="D107" s="45">
        <f t="shared" si="35"/>
        <v>67.249444161587974</v>
      </c>
      <c r="E107" s="63">
        <f t="shared" si="35"/>
        <v>147.44089673587661</v>
      </c>
      <c r="F107" s="45">
        <f t="shared" si="35"/>
        <v>84.877438214002268</v>
      </c>
      <c r="G107" s="45">
        <f t="shared" si="35"/>
        <v>76.000769469882329</v>
      </c>
      <c r="H107" s="45">
        <f t="shared" si="35"/>
        <v>68.137745328222863</v>
      </c>
      <c r="I107" s="45">
        <f t="shared" si="35"/>
        <v>62.076574495529904</v>
      </c>
      <c r="J107" s="45">
        <f t="shared" si="35"/>
        <v>85.265802989083525</v>
      </c>
      <c r="K107" s="45">
        <f t="shared" si="35"/>
        <v>76.805817520181208</v>
      </c>
      <c r="L107" s="64">
        <f t="shared" si="35"/>
        <v>79.08061136328925</v>
      </c>
      <c r="M107" s="45">
        <f t="shared" si="35"/>
        <v>22.115248881327354</v>
      </c>
      <c r="N107" s="64">
        <f t="shared" si="35"/>
        <v>50.271816480565981</v>
      </c>
      <c r="O107" s="45">
        <f t="shared" si="35"/>
        <v>12.369518148082657</v>
      </c>
      <c r="P107" s="64">
        <f t="shared" si="35"/>
        <v>6.0916155337324644</v>
      </c>
      <c r="Q107" s="45">
        <f t="shared" si="35"/>
        <v>19.158977787544057</v>
      </c>
      <c r="R107" s="45">
        <f t="shared" si="35"/>
        <v>17.660907419300472</v>
      </c>
      <c r="S107" s="45">
        <f t="shared" si="35"/>
        <v>19.879283871792293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Instructions</vt:lpstr>
      <vt:lpstr>CSP</vt:lpstr>
      <vt:lpstr>Métadonnées</vt:lpstr>
      <vt:lpstr>Correction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philippe</dc:creator>
  <cp:lastModifiedBy>Raphael Kobenan</cp:lastModifiedBy>
  <dcterms:created xsi:type="dcterms:W3CDTF">2011-01-23T17:06:26Z</dcterms:created>
  <dcterms:modified xsi:type="dcterms:W3CDTF">2026-10-03T20:35:11Z</dcterms:modified>
</cp:coreProperties>
</file>